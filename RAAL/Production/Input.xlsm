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1515" yWindow="1515" windowWidth="21600" windowHeight="11295" tabRatio="600" firstSheet="0" activeTab="0" autoFilterDateGrouping="1"/>
  </bookViews>
  <sheets>
    <sheet name="Sheet1" sheetId="1" state="visible" r:id="rId1"/>
  </sheets>
  <externalReferences>
    <externalReference r:id="rId2"/>
    <externalReference r:id="rId3"/>
  </externalReference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yyyy\-mm\-dd\ hh:mm:ss"/>
  </numFmts>
  <fonts count="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1" fillId="0" borderId="1" applyAlignment="1" pivotButton="0" quotePrefix="0" xfId="0">
      <alignment horizontal="center" vertical="top"/>
    </xf>
    <xf numFmtId="16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externalLink" Target="/xl/externalLinks/externalLink1.xml" Id="rId2" /><Relationship Type="http://schemas.openxmlformats.org/officeDocument/2006/relationships/externalLink" Target="/xl/externalLinks/externalLink2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https://mynexte-my.sharepoint.com/personal/andrei_ionita_mynexte_com/Documents/Desktop/ML/Forecast_app/RAAL/Production/Input/Concatenated_Hourly_GHI.xlsx" TargetMode="External" Id="rId2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mynexte-my.sharepoint.com/personal/andrei_ionita_mynexte_com/Documents/Desktop/ML/Forecast_app/RAAL/Production/Input/modified_weather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heet1"/>
    </sheetNames>
    <sheetDataSet>
      <sheetData sheetId="0">
        <row r="1">
          <cell r="K1" t="str">
            <v>cloudy_sky_ghi</v>
          </cell>
          <cell r="N1" t="str">
            <v>Lookup</v>
          </cell>
        </row>
        <row r="2">
          <cell r="K2">
            <v>0</v>
          </cell>
          <cell r="N2" t="str">
            <v>453170</v>
          </cell>
        </row>
        <row r="3">
          <cell r="K3">
            <v>0</v>
          </cell>
          <cell r="N3" t="str">
            <v>453171</v>
          </cell>
        </row>
        <row r="4">
          <cell r="K4">
            <v>0</v>
          </cell>
          <cell r="N4" t="str">
            <v>453172</v>
          </cell>
        </row>
        <row r="5">
          <cell r="K5">
            <v>0</v>
          </cell>
          <cell r="N5" t="str">
            <v>453173</v>
          </cell>
        </row>
        <row r="6">
          <cell r="K6">
            <v>0</v>
          </cell>
          <cell r="N6" t="str">
            <v>453174</v>
          </cell>
        </row>
        <row r="7">
          <cell r="K7">
            <v>0</v>
          </cell>
          <cell r="N7" t="str">
            <v>453175</v>
          </cell>
        </row>
        <row r="8">
          <cell r="K8">
            <v>0</v>
          </cell>
          <cell r="N8" t="str">
            <v>453176</v>
          </cell>
        </row>
        <row r="9">
          <cell r="K9">
            <v>0</v>
          </cell>
          <cell r="N9" t="str">
            <v>453177</v>
          </cell>
        </row>
        <row r="10">
          <cell r="K10">
            <v>26.03</v>
          </cell>
          <cell r="N10" t="str">
            <v>453178</v>
          </cell>
        </row>
        <row r="11">
          <cell r="K11">
            <v>106.49</v>
          </cell>
          <cell r="N11" t="str">
            <v>453179</v>
          </cell>
        </row>
        <row r="12">
          <cell r="K12">
            <v>151.22</v>
          </cell>
          <cell r="N12" t="str">
            <v>4531710</v>
          </cell>
        </row>
        <row r="13">
          <cell r="K13">
            <v>180.84</v>
          </cell>
          <cell r="N13" t="str">
            <v>4531711</v>
          </cell>
        </row>
        <row r="14">
          <cell r="K14">
            <v>194.24</v>
          </cell>
          <cell r="N14" t="str">
            <v>4531712</v>
          </cell>
        </row>
        <row r="15">
          <cell r="K15">
            <v>200.04</v>
          </cell>
          <cell r="N15" t="str">
            <v>4531713</v>
          </cell>
        </row>
        <row r="16">
          <cell r="K16">
            <v>213.86</v>
          </cell>
          <cell r="N16" t="str">
            <v>4531714</v>
          </cell>
        </row>
        <row r="17">
          <cell r="K17">
            <v>180.27</v>
          </cell>
          <cell r="N17" t="str">
            <v>4531715</v>
          </cell>
        </row>
        <row r="18">
          <cell r="K18">
            <v>73.3</v>
          </cell>
          <cell r="N18" t="str">
            <v>4531716</v>
          </cell>
        </row>
        <row r="19">
          <cell r="K19">
            <v>2.02</v>
          </cell>
          <cell r="N19" t="str">
            <v>4531717</v>
          </cell>
        </row>
        <row r="20">
          <cell r="K20">
            <v>0</v>
          </cell>
          <cell r="N20" t="str">
            <v>4531718</v>
          </cell>
        </row>
        <row r="21">
          <cell r="K21">
            <v>0</v>
          </cell>
          <cell r="N21" t="str">
            <v>4531719</v>
          </cell>
        </row>
        <row r="22">
          <cell r="K22">
            <v>0</v>
          </cell>
          <cell r="N22" t="str">
            <v>4531720</v>
          </cell>
        </row>
        <row r="23">
          <cell r="K23">
            <v>0</v>
          </cell>
          <cell r="N23" t="str">
            <v>4531721</v>
          </cell>
        </row>
        <row r="24">
          <cell r="K24">
            <v>0</v>
          </cell>
          <cell r="N24" t="str">
            <v>4531722</v>
          </cell>
        </row>
        <row r="25">
          <cell r="K25">
            <v>0</v>
          </cell>
          <cell r="N25" t="str">
            <v>4531723</v>
          </cell>
        </row>
        <row r="26">
          <cell r="K26">
            <v>0</v>
          </cell>
          <cell r="N26" t="str">
            <v>453180</v>
          </cell>
        </row>
        <row r="27">
          <cell r="K27">
            <v>0</v>
          </cell>
          <cell r="N27" t="str">
            <v>453181</v>
          </cell>
        </row>
        <row r="28">
          <cell r="K28">
            <v>0</v>
          </cell>
          <cell r="N28" t="str">
            <v>453182</v>
          </cell>
        </row>
        <row r="29">
          <cell r="K29">
            <v>0</v>
          </cell>
          <cell r="N29" t="str">
            <v>453183</v>
          </cell>
        </row>
        <row r="30">
          <cell r="K30">
            <v>0</v>
          </cell>
          <cell r="N30" t="str">
            <v>453184</v>
          </cell>
        </row>
        <row r="31">
          <cell r="K31">
            <v>0</v>
          </cell>
          <cell r="N31" t="str">
            <v>453185</v>
          </cell>
        </row>
        <row r="32">
          <cell r="K32">
            <v>0</v>
          </cell>
          <cell r="N32" t="str">
            <v>453186</v>
          </cell>
        </row>
        <row r="33">
          <cell r="K33">
            <v>0</v>
          </cell>
          <cell r="N33" t="str">
            <v>453187</v>
          </cell>
        </row>
        <row r="34">
          <cell r="K34">
            <v>21.13</v>
          </cell>
          <cell r="N34" t="str">
            <v>453188</v>
          </cell>
        </row>
        <row r="35">
          <cell r="K35">
            <v>98.77</v>
          </cell>
          <cell r="N35" t="str">
            <v>453189</v>
          </cell>
        </row>
        <row r="36">
          <cell r="K36">
            <v>217.19</v>
          </cell>
          <cell r="N36" t="str">
            <v>4531810</v>
          </cell>
        </row>
        <row r="37">
          <cell r="K37">
            <v>326.36</v>
          </cell>
          <cell r="N37" t="str">
            <v>4531811</v>
          </cell>
        </row>
        <row r="38">
          <cell r="K38">
            <v>373.54</v>
          </cell>
          <cell r="N38" t="str">
            <v>4531812</v>
          </cell>
        </row>
        <row r="39">
          <cell r="K39">
            <v>356.85</v>
          </cell>
          <cell r="N39" t="str">
            <v>4531813</v>
          </cell>
        </row>
        <row r="40">
          <cell r="K40">
            <v>283.87</v>
          </cell>
          <cell r="N40" t="str">
            <v>4531814</v>
          </cell>
        </row>
        <row r="41">
          <cell r="K41">
            <v>167.98</v>
          </cell>
          <cell r="N41" t="str">
            <v>4531815</v>
          </cell>
        </row>
        <row r="42">
          <cell r="K42">
            <v>53.03</v>
          </cell>
          <cell r="N42" t="str">
            <v>4531816</v>
          </cell>
        </row>
        <row r="43">
          <cell r="K43">
            <v>1.44</v>
          </cell>
          <cell r="N43" t="str">
            <v>4531817</v>
          </cell>
        </row>
        <row r="44">
          <cell r="K44">
            <v>0</v>
          </cell>
          <cell r="N44" t="str">
            <v>4531818</v>
          </cell>
        </row>
        <row r="45">
          <cell r="K45">
            <v>0</v>
          </cell>
          <cell r="N45" t="str">
            <v>4531819</v>
          </cell>
        </row>
        <row r="46">
          <cell r="K46">
            <v>0</v>
          </cell>
          <cell r="N46" t="str">
            <v>4531820</v>
          </cell>
        </row>
        <row r="47">
          <cell r="K47">
            <v>0</v>
          </cell>
          <cell r="N47" t="str">
            <v>4531821</v>
          </cell>
        </row>
        <row r="48">
          <cell r="K48">
            <v>0</v>
          </cell>
          <cell r="N48" t="str">
            <v>4531822</v>
          </cell>
        </row>
        <row r="49">
          <cell r="K49">
            <v>0</v>
          </cell>
          <cell r="N49" t="str">
            <v>4531823</v>
          </cell>
        </row>
        <row r="50">
          <cell r="K50">
            <v>0</v>
          </cell>
          <cell r="N50" t="str">
            <v>453190</v>
          </cell>
        </row>
        <row r="51">
          <cell r="K51">
            <v>0</v>
          </cell>
          <cell r="N51" t="str">
            <v>453191</v>
          </cell>
        </row>
        <row r="52">
          <cell r="K52">
            <v>0</v>
          </cell>
          <cell r="N52" t="str">
            <v>453192</v>
          </cell>
        </row>
        <row r="53">
          <cell r="K53">
            <v>0</v>
          </cell>
          <cell r="N53" t="str">
            <v>453193</v>
          </cell>
        </row>
        <row r="54">
          <cell r="K54">
            <v>0</v>
          </cell>
          <cell r="N54" t="str">
            <v>453194</v>
          </cell>
        </row>
        <row r="55">
          <cell r="K55">
            <v>0</v>
          </cell>
          <cell r="N55" t="str">
            <v>453195</v>
          </cell>
        </row>
        <row r="56">
          <cell r="K56">
            <v>0</v>
          </cell>
          <cell r="N56" t="str">
            <v>453196</v>
          </cell>
        </row>
        <row r="57">
          <cell r="K57">
            <v>0</v>
          </cell>
          <cell r="N57" t="str">
            <v>453197</v>
          </cell>
        </row>
        <row r="58">
          <cell r="K58">
            <v>36.799999999999997</v>
          </cell>
          <cell r="N58" t="str">
            <v>453198</v>
          </cell>
        </row>
        <row r="59">
          <cell r="K59">
            <v>114.9</v>
          </cell>
          <cell r="N59" t="str">
            <v>453199</v>
          </cell>
        </row>
        <row r="60">
          <cell r="K60">
            <v>167.01</v>
          </cell>
          <cell r="N60" t="str">
            <v>4531910</v>
          </cell>
        </row>
        <row r="61">
          <cell r="K61">
            <v>191.41</v>
          </cell>
          <cell r="N61" t="str">
            <v>4531911</v>
          </cell>
        </row>
        <row r="62">
          <cell r="K62">
            <v>187.92</v>
          </cell>
          <cell r="N62" t="str">
            <v>4531912</v>
          </cell>
        </row>
        <row r="63">
          <cell r="K63">
            <v>167.92</v>
          </cell>
          <cell r="N63" t="str">
            <v>4531913</v>
          </cell>
        </row>
        <row r="64">
          <cell r="K64">
            <v>118.53</v>
          </cell>
          <cell r="N64" t="str">
            <v>4531914</v>
          </cell>
        </row>
        <row r="65">
          <cell r="K65">
            <v>61.01</v>
          </cell>
          <cell r="N65" t="str">
            <v>4531915</v>
          </cell>
        </row>
        <row r="66">
          <cell r="K66">
            <v>25.82</v>
          </cell>
          <cell r="N66" t="str">
            <v>4531916</v>
          </cell>
        </row>
        <row r="67">
          <cell r="K67">
            <v>0.98</v>
          </cell>
          <cell r="N67" t="str">
            <v>4531917</v>
          </cell>
        </row>
        <row r="68">
          <cell r="K68">
            <v>0</v>
          </cell>
          <cell r="N68" t="str">
            <v>4531918</v>
          </cell>
        </row>
        <row r="69">
          <cell r="K69">
            <v>0</v>
          </cell>
          <cell r="N69" t="str">
            <v>4531919</v>
          </cell>
        </row>
        <row r="70">
          <cell r="K70">
            <v>0</v>
          </cell>
          <cell r="N70" t="str">
            <v>4531920</v>
          </cell>
        </row>
        <row r="71">
          <cell r="K71">
            <v>0</v>
          </cell>
          <cell r="N71" t="str">
            <v>4531921</v>
          </cell>
        </row>
        <row r="72">
          <cell r="K72">
            <v>0</v>
          </cell>
          <cell r="N72" t="str">
            <v>4531922</v>
          </cell>
        </row>
        <row r="73">
          <cell r="K73">
            <v>0</v>
          </cell>
          <cell r="N73" t="str">
            <v>4531923</v>
          </cell>
        </row>
        <row r="74">
          <cell r="K74">
            <v>0</v>
          </cell>
          <cell r="N74" t="str">
            <v>453200</v>
          </cell>
        </row>
        <row r="75">
          <cell r="K75">
            <v>0</v>
          </cell>
          <cell r="N75" t="str">
            <v>453201</v>
          </cell>
        </row>
        <row r="76">
          <cell r="K76">
            <v>0</v>
          </cell>
          <cell r="N76" t="str">
            <v>453202</v>
          </cell>
        </row>
        <row r="77">
          <cell r="K77">
            <v>0</v>
          </cell>
          <cell r="N77" t="str">
            <v>453203</v>
          </cell>
        </row>
        <row r="78">
          <cell r="K78">
            <v>0</v>
          </cell>
          <cell r="N78" t="str">
            <v>453204</v>
          </cell>
        </row>
        <row r="79">
          <cell r="K79">
            <v>0</v>
          </cell>
          <cell r="N79" t="str">
            <v>453205</v>
          </cell>
        </row>
        <row r="80">
          <cell r="K80">
            <v>0</v>
          </cell>
          <cell r="N80" t="str">
            <v>453206</v>
          </cell>
        </row>
        <row r="81">
          <cell r="K81">
            <v>0</v>
          </cell>
          <cell r="N81" t="str">
            <v>453207</v>
          </cell>
        </row>
        <row r="82">
          <cell r="K82">
            <v>52.64</v>
          </cell>
          <cell r="N82" t="str">
            <v>453208</v>
          </cell>
        </row>
        <row r="83">
          <cell r="K83">
            <v>181.88</v>
          </cell>
          <cell r="N83" t="str">
            <v>453209</v>
          </cell>
        </row>
        <row r="84">
          <cell r="K84">
            <v>299.91000000000003</v>
          </cell>
          <cell r="N84" t="str">
            <v>4532010</v>
          </cell>
        </row>
        <row r="85">
          <cell r="K85">
            <v>380.81</v>
          </cell>
          <cell r="N85" t="str">
            <v>4532011</v>
          </cell>
        </row>
        <row r="86">
          <cell r="K86">
            <v>413.04</v>
          </cell>
          <cell r="N86" t="str">
            <v>4532012</v>
          </cell>
        </row>
        <row r="87">
          <cell r="K87">
            <v>392.5</v>
          </cell>
          <cell r="N87" t="str">
            <v>4532013</v>
          </cell>
        </row>
        <row r="88">
          <cell r="K88">
            <v>322.14999999999998</v>
          </cell>
          <cell r="N88" t="str">
            <v>4532014</v>
          </cell>
        </row>
        <row r="89">
          <cell r="K89">
            <v>216.06</v>
          </cell>
          <cell r="N89" t="str">
            <v>4532015</v>
          </cell>
        </row>
        <row r="90">
          <cell r="K90">
            <v>88.83</v>
          </cell>
          <cell r="N90" t="str">
            <v>4532016</v>
          </cell>
        </row>
        <row r="91">
          <cell r="K91">
            <v>3.63</v>
          </cell>
          <cell r="N91" t="str">
            <v>4532017</v>
          </cell>
        </row>
        <row r="92">
          <cell r="K92">
            <v>0</v>
          </cell>
          <cell r="N92" t="str">
            <v>4532018</v>
          </cell>
        </row>
        <row r="93">
          <cell r="K93">
            <v>0</v>
          </cell>
          <cell r="N93" t="str">
            <v>4532019</v>
          </cell>
        </row>
        <row r="94">
          <cell r="K94">
            <v>0</v>
          </cell>
          <cell r="N94" t="str">
            <v>4532020</v>
          </cell>
        </row>
        <row r="95">
          <cell r="K95">
            <v>0</v>
          </cell>
          <cell r="N95" t="str">
            <v>4532021</v>
          </cell>
        </row>
        <row r="96">
          <cell r="K96">
            <v>0</v>
          </cell>
          <cell r="N96" t="str">
            <v>4532022</v>
          </cell>
        </row>
        <row r="97">
          <cell r="K97">
            <v>0</v>
          </cell>
          <cell r="N97" t="str">
            <v>4532023</v>
          </cell>
        </row>
        <row r="98">
          <cell r="K98">
            <v>0</v>
          </cell>
          <cell r="N98" t="str">
            <v>453210</v>
          </cell>
        </row>
        <row r="99">
          <cell r="K99">
            <v>0</v>
          </cell>
          <cell r="N99" t="str">
            <v>453211</v>
          </cell>
        </row>
        <row r="100">
          <cell r="K100">
            <v>0</v>
          </cell>
          <cell r="N100" t="str">
            <v>453212</v>
          </cell>
        </row>
        <row r="101">
          <cell r="K101">
            <v>0</v>
          </cell>
          <cell r="N101" t="str">
            <v>453213</v>
          </cell>
        </row>
        <row r="102">
          <cell r="K102">
            <v>0</v>
          </cell>
          <cell r="N102" t="str">
            <v>453214</v>
          </cell>
        </row>
        <row r="103">
          <cell r="K103">
            <v>0</v>
          </cell>
          <cell r="N103" t="str">
            <v>453215</v>
          </cell>
        </row>
        <row r="104">
          <cell r="K104">
            <v>0</v>
          </cell>
          <cell r="N104" t="str">
            <v>453216</v>
          </cell>
        </row>
        <row r="105">
          <cell r="K105">
            <v>0</v>
          </cell>
          <cell r="N105" t="str">
            <v>453217</v>
          </cell>
        </row>
        <row r="106">
          <cell r="K106">
            <v>55.08</v>
          </cell>
          <cell r="N106" t="str">
            <v>453218</v>
          </cell>
        </row>
        <row r="107">
          <cell r="K107">
            <v>185.41</v>
          </cell>
          <cell r="N107" t="str">
            <v>453219</v>
          </cell>
        </row>
        <row r="108">
          <cell r="K108">
            <v>304.01</v>
          </cell>
          <cell r="N108" t="str">
            <v>4532110</v>
          </cell>
        </row>
        <row r="109">
          <cell r="K109">
            <v>385.82</v>
          </cell>
          <cell r="N109" t="str">
            <v>4532111</v>
          </cell>
        </row>
        <row r="110">
          <cell r="K110">
            <v>419.7</v>
          </cell>
          <cell r="N110" t="str">
            <v>4532112</v>
          </cell>
        </row>
        <row r="111">
          <cell r="K111">
            <v>401.57</v>
          </cell>
          <cell r="N111" t="str">
            <v>4532113</v>
          </cell>
        </row>
        <row r="112">
          <cell r="K112">
            <v>333.56</v>
          </cell>
          <cell r="N112" t="str">
            <v>4532114</v>
          </cell>
        </row>
        <row r="113">
          <cell r="K113">
            <v>224.38</v>
          </cell>
          <cell r="N113" t="str">
            <v>4532115</v>
          </cell>
        </row>
        <row r="114">
          <cell r="K114">
            <v>92.92</v>
          </cell>
          <cell r="N114" t="str">
            <v>4532116</v>
          </cell>
        </row>
        <row r="115">
          <cell r="K115">
            <v>4.2300000000000004</v>
          </cell>
          <cell r="N115" t="str">
            <v>4532117</v>
          </cell>
        </row>
        <row r="116">
          <cell r="K116">
            <v>0</v>
          </cell>
          <cell r="N116" t="str">
            <v>4532118</v>
          </cell>
        </row>
        <row r="117">
          <cell r="K117">
            <v>0</v>
          </cell>
          <cell r="N117" t="str">
            <v>4532119</v>
          </cell>
        </row>
        <row r="118">
          <cell r="K118">
            <v>0</v>
          </cell>
          <cell r="N118" t="str">
            <v>4532120</v>
          </cell>
        </row>
        <row r="119">
          <cell r="K119">
            <v>0</v>
          </cell>
          <cell r="N119" t="str">
            <v>4532121</v>
          </cell>
        </row>
        <row r="120">
          <cell r="K120">
            <v>0</v>
          </cell>
          <cell r="N120" t="str">
            <v>4532122</v>
          </cell>
        </row>
        <row r="121">
          <cell r="K121">
            <v>0</v>
          </cell>
          <cell r="N121" t="str">
            <v>4532123</v>
          </cell>
        </row>
        <row r="122">
          <cell r="K122">
            <v>0</v>
          </cell>
          <cell r="N122" t="str">
            <v>453220</v>
          </cell>
        </row>
        <row r="123">
          <cell r="K123">
            <v>0</v>
          </cell>
          <cell r="N123" t="str">
            <v>453221</v>
          </cell>
        </row>
        <row r="124">
          <cell r="K124">
            <v>0</v>
          </cell>
          <cell r="N124" t="str">
            <v>453222</v>
          </cell>
        </row>
        <row r="125">
          <cell r="K125">
            <v>0</v>
          </cell>
          <cell r="N125" t="str">
            <v>453223</v>
          </cell>
        </row>
        <row r="126">
          <cell r="K126">
            <v>0</v>
          </cell>
          <cell r="N126" t="str">
            <v>453224</v>
          </cell>
        </row>
        <row r="127">
          <cell r="K127">
            <v>0</v>
          </cell>
          <cell r="N127" t="str">
            <v>453225</v>
          </cell>
        </row>
        <row r="128">
          <cell r="K128">
            <v>0</v>
          </cell>
          <cell r="N128" t="str">
            <v>453226</v>
          </cell>
        </row>
        <row r="129">
          <cell r="K129">
            <v>0</v>
          </cell>
          <cell r="N129" t="str">
            <v>453227</v>
          </cell>
        </row>
        <row r="130">
          <cell r="K130">
            <v>57.72</v>
          </cell>
          <cell r="N130" t="str">
            <v>453228</v>
          </cell>
        </row>
        <row r="131">
          <cell r="K131">
            <v>189.32</v>
          </cell>
          <cell r="N131" t="str">
            <v>453229</v>
          </cell>
        </row>
        <row r="132">
          <cell r="K132">
            <v>308.62</v>
          </cell>
          <cell r="N132" t="str">
            <v>4532210</v>
          </cell>
        </row>
        <row r="133">
          <cell r="K133">
            <v>390.89</v>
          </cell>
          <cell r="N133" t="str">
            <v>4532211</v>
          </cell>
        </row>
        <row r="134">
          <cell r="K134">
            <v>425</v>
          </cell>
          <cell r="N134" t="str">
            <v>4532212</v>
          </cell>
        </row>
        <row r="135">
          <cell r="K135">
            <v>406.87</v>
          </cell>
          <cell r="N135" t="str">
            <v>4532213</v>
          </cell>
        </row>
        <row r="136">
          <cell r="K136">
            <v>338.57</v>
          </cell>
          <cell r="N136" t="str">
            <v>4532214</v>
          </cell>
        </row>
        <row r="137">
          <cell r="K137">
            <v>228.92</v>
          </cell>
          <cell r="N137" t="str">
            <v>4532215</v>
          </cell>
        </row>
        <row r="138">
          <cell r="K138">
            <v>96.71</v>
          </cell>
          <cell r="N138" t="str">
            <v>4532216</v>
          </cell>
        </row>
        <row r="139">
          <cell r="K139">
            <v>4.8499999999999996</v>
          </cell>
          <cell r="N139" t="str">
            <v>4532217</v>
          </cell>
        </row>
        <row r="140">
          <cell r="K140">
            <v>0</v>
          </cell>
          <cell r="N140" t="str">
            <v>4532218</v>
          </cell>
        </row>
        <row r="141">
          <cell r="K141">
            <v>0</v>
          </cell>
          <cell r="N141" t="str">
            <v>4532219</v>
          </cell>
        </row>
        <row r="142">
          <cell r="K142">
            <v>0</v>
          </cell>
          <cell r="N142" t="str">
            <v>4532220</v>
          </cell>
        </row>
        <row r="143">
          <cell r="K143">
            <v>0</v>
          </cell>
          <cell r="N143" t="str">
            <v>4532221</v>
          </cell>
        </row>
        <row r="144">
          <cell r="K144">
            <v>0</v>
          </cell>
          <cell r="N144" t="str">
            <v>4532222</v>
          </cell>
        </row>
        <row r="145">
          <cell r="K145">
            <v>0</v>
          </cell>
          <cell r="N145" t="str">
            <v>4532223</v>
          </cell>
        </row>
        <row r="146">
          <cell r="K146">
            <v>0</v>
          </cell>
          <cell r="N146" t="str">
            <v>453230</v>
          </cell>
        </row>
        <row r="147">
          <cell r="K147">
            <v>0</v>
          </cell>
          <cell r="N147" t="str">
            <v>453231</v>
          </cell>
        </row>
        <row r="148">
          <cell r="K148">
            <v>0</v>
          </cell>
          <cell r="N148" t="str">
            <v>453232</v>
          </cell>
        </row>
        <row r="149">
          <cell r="K149">
            <v>0</v>
          </cell>
          <cell r="N149" t="str">
            <v>453233</v>
          </cell>
        </row>
        <row r="150">
          <cell r="K150">
            <v>0</v>
          </cell>
          <cell r="N150" t="str">
            <v>453234</v>
          </cell>
        </row>
        <row r="151">
          <cell r="K151">
            <v>0</v>
          </cell>
          <cell r="N151" t="str">
            <v>453235</v>
          </cell>
        </row>
        <row r="152">
          <cell r="K152">
            <v>0</v>
          </cell>
          <cell r="N152" t="str">
            <v>453236</v>
          </cell>
        </row>
        <row r="153">
          <cell r="K153">
            <v>0.04</v>
          </cell>
          <cell r="N153" t="str">
            <v>453237</v>
          </cell>
        </row>
        <row r="154">
          <cell r="K154">
            <v>59.4</v>
          </cell>
          <cell r="N154" t="str">
            <v>453238</v>
          </cell>
        </row>
        <row r="155">
          <cell r="K155">
            <v>192.96</v>
          </cell>
          <cell r="N155" t="str">
            <v>453239</v>
          </cell>
        </row>
        <row r="156">
          <cell r="K156">
            <v>312.77</v>
          </cell>
          <cell r="N156" t="str">
            <v>4532310</v>
          </cell>
        </row>
        <row r="157">
          <cell r="K157">
            <v>395.57</v>
          </cell>
          <cell r="N157" t="str">
            <v>4532311</v>
          </cell>
        </row>
        <row r="158">
          <cell r="K158">
            <v>430.11</v>
          </cell>
          <cell r="N158" t="str">
            <v>4532312</v>
          </cell>
        </row>
        <row r="159">
          <cell r="K159">
            <v>412.19</v>
          </cell>
          <cell r="N159" t="str">
            <v>4532313</v>
          </cell>
        </row>
        <row r="160">
          <cell r="K160">
            <v>343.92</v>
          </cell>
          <cell r="N160" t="str">
            <v>4532314</v>
          </cell>
        </row>
        <row r="161">
          <cell r="K161">
            <v>234</v>
          </cell>
          <cell r="N161" t="str">
            <v>4532315</v>
          </cell>
        </row>
        <row r="162">
          <cell r="K162">
            <v>100.8</v>
          </cell>
          <cell r="N162" t="str">
            <v>4532316</v>
          </cell>
        </row>
        <row r="163">
          <cell r="K163">
            <v>6.07</v>
          </cell>
          <cell r="N163" t="str">
            <v>4532317</v>
          </cell>
        </row>
        <row r="164">
          <cell r="K164">
            <v>0</v>
          </cell>
          <cell r="N164" t="str">
            <v>4532318</v>
          </cell>
        </row>
        <row r="165">
          <cell r="K165">
            <v>0</v>
          </cell>
          <cell r="N165" t="str">
            <v>4532319</v>
          </cell>
        </row>
        <row r="166">
          <cell r="K166">
            <v>0</v>
          </cell>
          <cell r="N166" t="str">
            <v>4532320</v>
          </cell>
        </row>
        <row r="167">
          <cell r="K167">
            <v>0</v>
          </cell>
          <cell r="N167" t="str">
            <v>4532321</v>
          </cell>
        </row>
        <row r="168">
          <cell r="K168">
            <v>0</v>
          </cell>
          <cell r="N168" t="str">
            <v>4532322</v>
          </cell>
        </row>
        <row r="169">
          <cell r="K169">
            <v>0</v>
          </cell>
          <cell r="N169" t="str">
            <v>4532323</v>
          </cell>
        </row>
        <row r="170">
          <cell r="K170">
            <v>0</v>
          </cell>
          <cell r="N170" t="str">
            <v>453240</v>
          </cell>
        </row>
        <row r="171">
          <cell r="K171">
            <v>0</v>
          </cell>
          <cell r="N171" t="str">
            <v>453241</v>
          </cell>
        </row>
        <row r="172">
          <cell r="K172">
            <v>0</v>
          </cell>
          <cell r="N172" t="str">
            <v>453242</v>
          </cell>
        </row>
        <row r="173">
          <cell r="K173">
            <v>0</v>
          </cell>
          <cell r="N173" t="str">
            <v>453243</v>
          </cell>
        </row>
        <row r="174">
          <cell r="K174">
            <v>0</v>
          </cell>
          <cell r="N174" t="str">
            <v>453244</v>
          </cell>
        </row>
        <row r="175">
          <cell r="K175">
            <v>0</v>
          </cell>
          <cell r="N175" t="str">
            <v>453245</v>
          </cell>
        </row>
        <row r="176">
          <cell r="K176">
            <v>0</v>
          </cell>
          <cell r="N176" t="str">
            <v>453246</v>
          </cell>
        </row>
        <row r="177">
          <cell r="K177">
            <v>0.04</v>
          </cell>
          <cell r="N177" t="str">
            <v>453247</v>
          </cell>
        </row>
        <row r="178">
          <cell r="K178">
            <v>38.049999999999997</v>
          </cell>
          <cell r="N178" t="str">
            <v>453248</v>
          </cell>
        </row>
        <row r="179">
          <cell r="K179">
            <v>157.63</v>
          </cell>
          <cell r="N179" t="str">
            <v>453249</v>
          </cell>
        </row>
        <row r="180">
          <cell r="K180">
            <v>252.54</v>
          </cell>
          <cell r="N180" t="str">
            <v>4532410</v>
          </cell>
        </row>
        <row r="181">
          <cell r="K181">
            <v>318.23</v>
          </cell>
          <cell r="N181" t="str">
            <v>4532411</v>
          </cell>
        </row>
        <row r="182">
          <cell r="K182">
            <v>348.31</v>
          </cell>
          <cell r="N182" t="str">
            <v>4532412</v>
          </cell>
        </row>
        <row r="183">
          <cell r="K183">
            <v>341.42</v>
          </cell>
          <cell r="N183" t="str">
            <v>4532413</v>
          </cell>
        </row>
        <row r="184">
          <cell r="K184">
            <v>242.29</v>
          </cell>
          <cell r="N184" t="str">
            <v>4532414</v>
          </cell>
        </row>
        <row r="185">
          <cell r="K185">
            <v>88.35</v>
          </cell>
          <cell r="N185" t="str">
            <v>4532415</v>
          </cell>
        </row>
        <row r="186">
          <cell r="K186">
            <v>56.01</v>
          </cell>
          <cell r="N186" t="str">
            <v>4532416</v>
          </cell>
        </row>
        <row r="187">
          <cell r="K187">
            <v>5.53</v>
          </cell>
          <cell r="N187" t="str">
            <v>4532417</v>
          </cell>
        </row>
        <row r="188">
          <cell r="K188">
            <v>0</v>
          </cell>
          <cell r="N188" t="str">
            <v>4532418</v>
          </cell>
        </row>
        <row r="189">
          <cell r="K189">
            <v>0</v>
          </cell>
          <cell r="N189" t="str">
            <v>4532419</v>
          </cell>
        </row>
        <row r="190">
          <cell r="K190">
            <v>0</v>
          </cell>
          <cell r="N190" t="str">
            <v>4532420</v>
          </cell>
        </row>
        <row r="191">
          <cell r="K191">
            <v>0</v>
          </cell>
          <cell r="N191" t="str">
            <v>4532421</v>
          </cell>
        </row>
        <row r="192">
          <cell r="K192">
            <v>0</v>
          </cell>
          <cell r="N192" t="str">
            <v>4532422</v>
          </cell>
        </row>
        <row r="193">
          <cell r="K193">
            <v>0</v>
          </cell>
          <cell r="N193" t="str">
            <v>4532423</v>
          </cell>
        </row>
        <row r="194">
          <cell r="K194">
            <v>0</v>
          </cell>
          <cell r="N194" t="str">
            <v>453250</v>
          </cell>
        </row>
        <row r="195">
          <cell r="K195">
            <v>0</v>
          </cell>
          <cell r="N195" t="str">
            <v>453251</v>
          </cell>
        </row>
        <row r="196">
          <cell r="K196">
            <v>0</v>
          </cell>
          <cell r="N196" t="str">
            <v>453252</v>
          </cell>
        </row>
        <row r="197">
          <cell r="K197">
            <v>0</v>
          </cell>
          <cell r="N197" t="str">
            <v>453253</v>
          </cell>
        </row>
        <row r="198">
          <cell r="K198">
            <v>0</v>
          </cell>
          <cell r="N198" t="str">
            <v>453254</v>
          </cell>
        </row>
        <row r="199">
          <cell r="K199">
            <v>0</v>
          </cell>
          <cell r="N199" t="str">
            <v>453255</v>
          </cell>
        </row>
        <row r="200">
          <cell r="K200">
            <v>0</v>
          </cell>
          <cell r="N200" t="str">
            <v>453256</v>
          </cell>
        </row>
        <row r="201">
          <cell r="K201">
            <v>0.08</v>
          </cell>
          <cell r="N201" t="str">
            <v>453257</v>
          </cell>
        </row>
        <row r="202">
          <cell r="K202">
            <v>18.84</v>
          </cell>
          <cell r="N202" t="str">
            <v>453258</v>
          </cell>
        </row>
        <row r="203">
          <cell r="K203">
            <v>62.39</v>
          </cell>
          <cell r="N203" t="str">
            <v>453259</v>
          </cell>
        </row>
        <row r="204">
          <cell r="K204">
            <v>106.43</v>
          </cell>
          <cell r="N204" t="str">
            <v>4532510</v>
          </cell>
        </row>
        <row r="205">
          <cell r="K205">
            <v>146.91999999999999</v>
          </cell>
          <cell r="N205" t="str">
            <v>4532511</v>
          </cell>
        </row>
        <row r="206">
          <cell r="K206">
            <v>173.13</v>
          </cell>
          <cell r="N206" t="str">
            <v>4532512</v>
          </cell>
        </row>
        <row r="207">
          <cell r="K207">
            <v>176.57</v>
          </cell>
          <cell r="N207" t="str">
            <v>4532513</v>
          </cell>
        </row>
        <row r="208">
          <cell r="K208">
            <v>179.83</v>
          </cell>
          <cell r="N208" t="str">
            <v>4532514</v>
          </cell>
        </row>
        <row r="209">
          <cell r="K209">
            <v>142.72</v>
          </cell>
          <cell r="N209" t="str">
            <v>4532515</v>
          </cell>
        </row>
        <row r="210">
          <cell r="K210">
            <v>49.83</v>
          </cell>
          <cell r="N210" t="str">
            <v>4532516</v>
          </cell>
        </row>
        <row r="211">
          <cell r="K211">
            <v>3.33</v>
          </cell>
          <cell r="N211" t="str">
            <v>4532517</v>
          </cell>
        </row>
        <row r="212">
          <cell r="K212">
            <v>0</v>
          </cell>
          <cell r="N212" t="str">
            <v>4532518</v>
          </cell>
        </row>
        <row r="213">
          <cell r="K213">
            <v>0</v>
          </cell>
          <cell r="N213" t="str">
            <v>4532519</v>
          </cell>
        </row>
        <row r="214">
          <cell r="K214">
            <v>0</v>
          </cell>
          <cell r="N214" t="str">
            <v>4532520</v>
          </cell>
        </row>
        <row r="215">
          <cell r="K215">
            <v>0</v>
          </cell>
          <cell r="N215" t="str">
            <v>4532521</v>
          </cell>
        </row>
        <row r="216">
          <cell r="K216">
            <v>0</v>
          </cell>
          <cell r="N216" t="str">
            <v>4532522</v>
          </cell>
        </row>
        <row r="217">
          <cell r="K217">
            <v>0</v>
          </cell>
          <cell r="N217" t="str">
            <v>4532523</v>
          </cell>
        </row>
        <row r="218">
          <cell r="K218">
            <v>0</v>
          </cell>
          <cell r="N218" t="str">
            <v>453260</v>
          </cell>
        </row>
        <row r="219">
          <cell r="K219">
            <v>0</v>
          </cell>
          <cell r="N219" t="str">
            <v>453261</v>
          </cell>
        </row>
        <row r="220">
          <cell r="K220">
            <v>0</v>
          </cell>
          <cell r="N220" t="str">
            <v>453262</v>
          </cell>
        </row>
        <row r="221">
          <cell r="K221">
            <v>0</v>
          </cell>
          <cell r="N221" t="str">
            <v>453263</v>
          </cell>
        </row>
        <row r="222">
          <cell r="K222">
            <v>0</v>
          </cell>
          <cell r="N222" t="str">
            <v>453264</v>
          </cell>
        </row>
        <row r="223">
          <cell r="K223">
            <v>0</v>
          </cell>
          <cell r="N223" t="str">
            <v>453265</v>
          </cell>
        </row>
        <row r="224">
          <cell r="K224">
            <v>0</v>
          </cell>
          <cell r="N224" t="str">
            <v>453266</v>
          </cell>
        </row>
        <row r="225">
          <cell r="K225">
            <v>0.15</v>
          </cell>
          <cell r="N225" t="str">
            <v>453267</v>
          </cell>
        </row>
        <row r="226">
          <cell r="K226">
            <v>18.05</v>
          </cell>
          <cell r="N226" t="str">
            <v>453268</v>
          </cell>
        </row>
        <row r="227">
          <cell r="K227">
            <v>51.42</v>
          </cell>
          <cell r="N227" t="str">
            <v>453269</v>
          </cell>
        </row>
        <row r="228">
          <cell r="K228">
            <v>81.81</v>
          </cell>
          <cell r="N228" t="str">
            <v>4532610</v>
          </cell>
        </row>
        <row r="229">
          <cell r="K229">
            <v>102.75</v>
          </cell>
          <cell r="N229" t="str">
            <v>4532611</v>
          </cell>
        </row>
        <row r="230">
          <cell r="K230">
            <v>111.49</v>
          </cell>
          <cell r="N230" t="str">
            <v>4532612</v>
          </cell>
        </row>
        <row r="231">
          <cell r="K231">
            <v>107.01</v>
          </cell>
          <cell r="N231" t="str">
            <v>4532613</v>
          </cell>
        </row>
        <row r="232">
          <cell r="K232">
            <v>89.84</v>
          </cell>
          <cell r="N232" t="str">
            <v>4532614</v>
          </cell>
        </row>
        <row r="233">
          <cell r="K233">
            <v>62.1</v>
          </cell>
          <cell r="N233" t="str">
            <v>4532615</v>
          </cell>
        </row>
        <row r="234">
          <cell r="K234">
            <v>28.21</v>
          </cell>
          <cell r="N234" t="str">
            <v>4532616</v>
          </cell>
        </row>
        <row r="235">
          <cell r="K235">
            <v>2.33</v>
          </cell>
          <cell r="N235" t="str">
            <v>4532617</v>
          </cell>
        </row>
        <row r="236">
          <cell r="K236">
            <v>0</v>
          </cell>
          <cell r="N236" t="str">
            <v>4532618</v>
          </cell>
        </row>
        <row r="237">
          <cell r="K237">
            <v>0</v>
          </cell>
          <cell r="N237" t="str">
            <v>4532619</v>
          </cell>
        </row>
        <row r="238">
          <cell r="K238">
            <v>0</v>
          </cell>
          <cell r="N238" t="str">
            <v>4532620</v>
          </cell>
        </row>
        <row r="239">
          <cell r="K239">
            <v>0</v>
          </cell>
          <cell r="N239" t="str">
            <v>4532621</v>
          </cell>
        </row>
        <row r="240">
          <cell r="K240">
            <v>0</v>
          </cell>
          <cell r="N240" t="str">
            <v>4532622</v>
          </cell>
        </row>
        <row r="241">
          <cell r="K241">
            <v>0</v>
          </cell>
          <cell r="N241" t="str">
            <v>4532623</v>
          </cell>
        </row>
        <row r="242">
          <cell r="K242">
            <v>0</v>
          </cell>
          <cell r="N242" t="str">
            <v>453270</v>
          </cell>
        </row>
        <row r="243">
          <cell r="K243">
            <v>0</v>
          </cell>
          <cell r="N243" t="str">
            <v>453271</v>
          </cell>
        </row>
        <row r="244">
          <cell r="K244">
            <v>0</v>
          </cell>
          <cell r="N244" t="str">
            <v>453272</v>
          </cell>
        </row>
        <row r="245">
          <cell r="K245">
            <v>0</v>
          </cell>
          <cell r="N245" t="str">
            <v>453273</v>
          </cell>
        </row>
        <row r="246">
          <cell r="K246">
            <v>0</v>
          </cell>
          <cell r="N246" t="str">
            <v>453274</v>
          </cell>
        </row>
        <row r="247">
          <cell r="K247">
            <v>0</v>
          </cell>
          <cell r="N247" t="str">
            <v>453275</v>
          </cell>
        </row>
        <row r="248">
          <cell r="K248">
            <v>0</v>
          </cell>
          <cell r="N248" t="str">
            <v>453276</v>
          </cell>
        </row>
        <row r="249">
          <cell r="K249">
            <v>0.21</v>
          </cell>
          <cell r="N249" t="str">
            <v>453277</v>
          </cell>
        </row>
        <row r="250">
          <cell r="K250">
            <v>18.18</v>
          </cell>
          <cell r="N250" t="str">
            <v>453278</v>
          </cell>
        </row>
        <row r="251">
          <cell r="K251">
            <v>52.53</v>
          </cell>
          <cell r="N251" t="str">
            <v>453279</v>
          </cell>
        </row>
        <row r="252">
          <cell r="K252">
            <v>83.07</v>
          </cell>
          <cell r="N252" t="str">
            <v>4532710</v>
          </cell>
        </row>
        <row r="253">
          <cell r="K253">
            <v>104.09</v>
          </cell>
          <cell r="N253" t="str">
            <v>4532711</v>
          </cell>
        </row>
        <row r="254">
          <cell r="K254">
            <v>112.88</v>
          </cell>
          <cell r="N254" t="str">
            <v>4532712</v>
          </cell>
        </row>
        <row r="255">
          <cell r="K255">
            <v>108.41</v>
          </cell>
          <cell r="N255" t="str">
            <v>4532713</v>
          </cell>
        </row>
        <row r="256">
          <cell r="K256">
            <v>91.38</v>
          </cell>
          <cell r="N256" t="str">
            <v>4532714</v>
          </cell>
        </row>
        <row r="257">
          <cell r="K257">
            <v>63.85</v>
          </cell>
          <cell r="N257" t="str">
            <v>4532715</v>
          </cell>
        </row>
        <row r="258">
          <cell r="K258">
            <v>29.65</v>
          </cell>
          <cell r="N258" t="str">
            <v>4532716</v>
          </cell>
        </row>
        <row r="259">
          <cell r="K259">
            <v>2.69</v>
          </cell>
          <cell r="N259" t="str">
            <v>4532717</v>
          </cell>
        </row>
        <row r="260">
          <cell r="K260">
            <v>0</v>
          </cell>
          <cell r="N260" t="str">
            <v>4532718</v>
          </cell>
        </row>
        <row r="261">
          <cell r="K261">
            <v>0</v>
          </cell>
          <cell r="N261" t="str">
            <v>4532719</v>
          </cell>
        </row>
        <row r="262">
          <cell r="K262">
            <v>0</v>
          </cell>
          <cell r="N262" t="str">
            <v>4532720</v>
          </cell>
        </row>
        <row r="263">
          <cell r="K263">
            <v>0</v>
          </cell>
          <cell r="N263" t="str">
            <v>4532721</v>
          </cell>
        </row>
        <row r="264">
          <cell r="K264">
            <v>0</v>
          </cell>
          <cell r="N264" t="str">
            <v>4532722</v>
          </cell>
        </row>
        <row r="265">
          <cell r="K265">
            <v>0</v>
          </cell>
          <cell r="N265" t="str">
            <v>4532723</v>
          </cell>
        </row>
        <row r="266">
          <cell r="K266">
            <v>0</v>
          </cell>
          <cell r="N266" t="str">
            <v>453280</v>
          </cell>
        </row>
        <row r="267">
          <cell r="K267">
            <v>0</v>
          </cell>
          <cell r="N267" t="str">
            <v>453281</v>
          </cell>
        </row>
        <row r="268">
          <cell r="K268">
            <v>0</v>
          </cell>
          <cell r="N268" t="str">
            <v>453282</v>
          </cell>
        </row>
        <row r="269">
          <cell r="K269">
            <v>0</v>
          </cell>
          <cell r="N269" t="str">
            <v>453283</v>
          </cell>
        </row>
        <row r="270">
          <cell r="K270">
            <v>0</v>
          </cell>
          <cell r="N270" t="str">
            <v>453284</v>
          </cell>
        </row>
        <row r="271">
          <cell r="K271">
            <v>0</v>
          </cell>
          <cell r="N271" t="str">
            <v>453285</v>
          </cell>
        </row>
        <row r="272">
          <cell r="K272">
            <v>0</v>
          </cell>
          <cell r="N272" t="str">
            <v>453286</v>
          </cell>
        </row>
        <row r="273">
          <cell r="K273">
            <v>0.5</v>
          </cell>
          <cell r="N273" t="str">
            <v>453287</v>
          </cell>
        </row>
        <row r="274">
          <cell r="K274">
            <v>46.83</v>
          </cell>
          <cell r="N274" t="str">
            <v>453288</v>
          </cell>
        </row>
        <row r="275">
          <cell r="K275">
            <v>177.65</v>
          </cell>
          <cell r="N275" t="str">
            <v>453289</v>
          </cell>
        </row>
        <row r="276">
          <cell r="K276">
            <v>318.63</v>
          </cell>
          <cell r="N276" t="str">
            <v>4532810</v>
          </cell>
        </row>
        <row r="277">
          <cell r="K277">
            <v>414.61</v>
          </cell>
          <cell r="N277" t="str">
            <v>4532811</v>
          </cell>
        </row>
        <row r="278">
          <cell r="K278">
            <v>452.16</v>
          </cell>
          <cell r="N278" t="str">
            <v>4532812</v>
          </cell>
        </row>
        <row r="279">
          <cell r="K279">
            <v>436.4</v>
          </cell>
          <cell r="N279" t="str">
            <v>4532813</v>
          </cell>
        </row>
        <row r="280">
          <cell r="K280">
            <v>366.24</v>
          </cell>
          <cell r="N280" t="str">
            <v>4532814</v>
          </cell>
        </row>
        <row r="281">
          <cell r="K281">
            <v>246.03</v>
          </cell>
          <cell r="N281" t="str">
            <v>4532815</v>
          </cell>
        </row>
        <row r="282">
          <cell r="K282">
            <v>104.98</v>
          </cell>
          <cell r="N282" t="str">
            <v>4532816</v>
          </cell>
        </row>
        <row r="283">
          <cell r="K283">
            <v>8.98</v>
          </cell>
          <cell r="N283" t="str">
            <v>4532817</v>
          </cell>
        </row>
        <row r="284">
          <cell r="K284">
            <v>0</v>
          </cell>
          <cell r="N284" t="str">
            <v>4532818</v>
          </cell>
        </row>
        <row r="285">
          <cell r="K285">
            <v>0</v>
          </cell>
          <cell r="N285" t="str">
            <v>4532819</v>
          </cell>
        </row>
        <row r="286">
          <cell r="K286">
            <v>0</v>
          </cell>
          <cell r="N286" t="str">
            <v>4532820</v>
          </cell>
        </row>
        <row r="287">
          <cell r="K287">
            <v>0</v>
          </cell>
          <cell r="N287" t="str">
            <v>4532821</v>
          </cell>
        </row>
        <row r="288">
          <cell r="K288">
            <v>0</v>
          </cell>
          <cell r="N288" t="str">
            <v>4532822</v>
          </cell>
        </row>
        <row r="289">
          <cell r="K289">
            <v>0</v>
          </cell>
          <cell r="N289" t="str">
            <v>4532823</v>
          </cell>
        </row>
      </sheetData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Sheet1"/>
    </sheetNames>
    <sheetDataSet>
      <sheetData sheetId="0">
        <row r="1">
          <cell r="H1" t="str">
            <v>main.temp</v>
          </cell>
          <cell r="Q1" t="str">
            <v>clouds.all</v>
          </cell>
          <cell r="W1" t="str">
            <v>Lookup</v>
          </cell>
        </row>
        <row r="2">
          <cell r="H2">
            <v>4.68</v>
          </cell>
          <cell r="Q2">
            <v>17</v>
          </cell>
          <cell r="W2" t="str">
            <v>4532214</v>
          </cell>
        </row>
        <row r="3">
          <cell r="H3">
            <v>3.66</v>
          </cell>
          <cell r="Q3">
            <v>17</v>
          </cell>
          <cell r="W3" t="str">
            <v>4532215</v>
          </cell>
        </row>
        <row r="4">
          <cell r="H4">
            <v>2.34</v>
          </cell>
          <cell r="Q4">
            <v>18</v>
          </cell>
          <cell r="W4" t="str">
            <v>4532216</v>
          </cell>
        </row>
        <row r="5">
          <cell r="H5">
            <v>1.24</v>
          </cell>
          <cell r="Q5">
            <v>19</v>
          </cell>
          <cell r="W5" t="str">
            <v>4532217</v>
          </cell>
        </row>
        <row r="6">
          <cell r="H6">
            <v>0.14000000000000001</v>
          </cell>
          <cell r="Q6">
            <v>20</v>
          </cell>
          <cell r="W6" t="str">
            <v>4532218</v>
          </cell>
        </row>
        <row r="7">
          <cell r="H7">
            <v>-0.03</v>
          </cell>
          <cell r="Q7">
            <v>27</v>
          </cell>
          <cell r="W7" t="str">
            <v>4532219</v>
          </cell>
        </row>
        <row r="8">
          <cell r="H8">
            <v>-0.17</v>
          </cell>
          <cell r="Q8">
            <v>40</v>
          </cell>
          <cell r="W8" t="str">
            <v>4532220</v>
          </cell>
        </row>
        <row r="9">
          <cell r="H9">
            <v>-0.25</v>
          </cell>
          <cell r="Q9">
            <v>49</v>
          </cell>
          <cell r="W9" t="str">
            <v>4532221</v>
          </cell>
        </row>
        <row r="10">
          <cell r="H10">
            <v>-0.4</v>
          </cell>
          <cell r="Q10">
            <v>51</v>
          </cell>
          <cell r="W10" t="str">
            <v>4532222</v>
          </cell>
        </row>
        <row r="11">
          <cell r="H11">
            <v>-0.54</v>
          </cell>
          <cell r="Q11">
            <v>53</v>
          </cell>
          <cell r="W11" t="str">
            <v>4532223</v>
          </cell>
        </row>
        <row r="12">
          <cell r="H12">
            <v>-0.74</v>
          </cell>
          <cell r="Q12">
            <v>51</v>
          </cell>
          <cell r="W12" t="str">
            <v>453230</v>
          </cell>
        </row>
        <row r="13">
          <cell r="H13">
            <v>-0.91</v>
          </cell>
          <cell r="Q13">
            <v>20</v>
          </cell>
          <cell r="W13" t="str">
            <v>453231</v>
          </cell>
        </row>
        <row r="14">
          <cell r="H14">
            <v>-1.02</v>
          </cell>
          <cell r="Q14">
            <v>33</v>
          </cell>
          <cell r="W14" t="str">
            <v>453232</v>
          </cell>
        </row>
        <row r="15">
          <cell r="H15">
            <v>-1.1599999999999999</v>
          </cell>
          <cell r="Q15">
            <v>42</v>
          </cell>
          <cell r="W15" t="str">
            <v>453233</v>
          </cell>
        </row>
        <row r="16">
          <cell r="H16">
            <v>-1.32</v>
          </cell>
          <cell r="Q16">
            <v>48</v>
          </cell>
          <cell r="W16" t="str">
            <v>453234</v>
          </cell>
        </row>
        <row r="17">
          <cell r="H17">
            <v>-1.42</v>
          </cell>
          <cell r="Q17">
            <v>48</v>
          </cell>
          <cell r="W17" t="str">
            <v>453235</v>
          </cell>
        </row>
        <row r="18">
          <cell r="H18">
            <v>-1.45</v>
          </cell>
          <cell r="Q18">
            <v>48</v>
          </cell>
          <cell r="W18" t="str">
            <v>453236</v>
          </cell>
        </row>
        <row r="19">
          <cell r="H19">
            <v>-0.18</v>
          </cell>
          <cell r="Q19">
            <v>18</v>
          </cell>
          <cell r="W19" t="str">
            <v>453237</v>
          </cell>
        </row>
        <row r="20">
          <cell r="H20">
            <v>1.64</v>
          </cell>
          <cell r="Q20">
            <v>17</v>
          </cell>
          <cell r="W20" t="str">
            <v>453238</v>
          </cell>
        </row>
        <row r="21">
          <cell r="H21">
            <v>3.23</v>
          </cell>
          <cell r="Q21">
            <v>15</v>
          </cell>
          <cell r="W21" t="str">
            <v>453239</v>
          </cell>
        </row>
        <row r="22">
          <cell r="H22">
            <v>4.74</v>
          </cell>
          <cell r="Q22">
            <v>13</v>
          </cell>
          <cell r="W22" t="str">
            <v>4532310</v>
          </cell>
        </row>
        <row r="23">
          <cell r="H23">
            <v>5.95</v>
          </cell>
          <cell r="Q23">
            <v>11</v>
          </cell>
          <cell r="W23" t="str">
            <v>4532311</v>
          </cell>
        </row>
        <row r="24">
          <cell r="H24">
            <v>6.62</v>
          </cell>
          <cell r="Q24">
            <v>10</v>
          </cell>
          <cell r="W24" t="str">
            <v>4532312</v>
          </cell>
        </row>
        <row r="25">
          <cell r="H25">
            <v>6.65</v>
          </cell>
          <cell r="Q25">
            <v>8</v>
          </cell>
          <cell r="W25" t="str">
            <v>4532313</v>
          </cell>
        </row>
        <row r="26">
          <cell r="H26">
            <v>5.55</v>
          </cell>
          <cell r="Q26">
            <v>8</v>
          </cell>
          <cell r="W26" t="str">
            <v>4532314</v>
          </cell>
        </row>
        <row r="27">
          <cell r="H27">
            <v>3.21</v>
          </cell>
          <cell r="Q27">
            <v>8</v>
          </cell>
          <cell r="W27" t="str">
            <v>4532315</v>
          </cell>
        </row>
        <row r="28">
          <cell r="H28">
            <v>2.1800000000000002</v>
          </cell>
          <cell r="Q28">
            <v>20</v>
          </cell>
          <cell r="W28" t="str">
            <v>4532316</v>
          </cell>
        </row>
        <row r="29">
          <cell r="H29">
            <v>1.26</v>
          </cell>
          <cell r="Q29">
            <v>19</v>
          </cell>
          <cell r="W29" t="str">
            <v>4532317</v>
          </cell>
        </row>
        <row r="30">
          <cell r="H30">
            <v>1.1399999999999999</v>
          </cell>
          <cell r="Q30">
            <v>22</v>
          </cell>
          <cell r="W30" t="str">
            <v>4532318</v>
          </cell>
        </row>
        <row r="31">
          <cell r="H31">
            <v>0.85</v>
          </cell>
          <cell r="Q31">
            <v>91</v>
          </cell>
          <cell r="W31" t="str">
            <v>4532319</v>
          </cell>
        </row>
        <row r="32">
          <cell r="H32">
            <v>1.06</v>
          </cell>
          <cell r="Q32">
            <v>96</v>
          </cell>
          <cell r="W32" t="str">
            <v>4532320</v>
          </cell>
        </row>
        <row r="33">
          <cell r="H33">
            <v>1.71</v>
          </cell>
          <cell r="Q33">
            <v>97</v>
          </cell>
          <cell r="W33" t="str">
            <v>4532321</v>
          </cell>
        </row>
        <row r="34">
          <cell r="H34">
            <v>1.53</v>
          </cell>
          <cell r="Q34">
            <v>98</v>
          </cell>
          <cell r="W34" t="str">
            <v>4532322</v>
          </cell>
        </row>
        <row r="35">
          <cell r="H35">
            <v>1.5</v>
          </cell>
          <cell r="Q35">
            <v>98</v>
          </cell>
          <cell r="W35" t="str">
            <v>4532323</v>
          </cell>
        </row>
        <row r="36">
          <cell r="H36">
            <v>1.1499999999999999</v>
          </cell>
          <cell r="Q36">
            <v>99</v>
          </cell>
          <cell r="W36" t="str">
            <v>453240</v>
          </cell>
        </row>
        <row r="37">
          <cell r="H37">
            <v>0.84</v>
          </cell>
          <cell r="Q37">
            <v>100</v>
          </cell>
          <cell r="W37" t="str">
            <v>453241</v>
          </cell>
        </row>
        <row r="38">
          <cell r="H38">
            <v>0.92</v>
          </cell>
          <cell r="Q38">
            <v>100</v>
          </cell>
          <cell r="W38" t="str">
            <v>453242</v>
          </cell>
        </row>
        <row r="39">
          <cell r="H39">
            <v>0.96</v>
          </cell>
          <cell r="Q39">
            <v>100</v>
          </cell>
          <cell r="W39" t="str">
            <v>453243</v>
          </cell>
        </row>
        <row r="40">
          <cell r="H40">
            <v>0.76</v>
          </cell>
          <cell r="Q40">
            <v>99</v>
          </cell>
          <cell r="W40" t="str">
            <v>453244</v>
          </cell>
        </row>
        <row r="41">
          <cell r="H41">
            <v>0.82</v>
          </cell>
          <cell r="Q41">
            <v>99</v>
          </cell>
          <cell r="W41" t="str">
            <v>453245</v>
          </cell>
        </row>
        <row r="42">
          <cell r="H42">
            <v>0.75</v>
          </cell>
          <cell r="Q42">
            <v>99</v>
          </cell>
          <cell r="W42" t="str">
            <v>453246</v>
          </cell>
        </row>
        <row r="43">
          <cell r="H43">
            <v>1.3</v>
          </cell>
          <cell r="Q43">
            <v>68</v>
          </cell>
          <cell r="W43" t="str">
            <v>453247</v>
          </cell>
        </row>
        <row r="44">
          <cell r="H44">
            <v>2.23</v>
          </cell>
          <cell r="Q44">
            <v>68</v>
          </cell>
          <cell r="W44" t="str">
            <v>453248</v>
          </cell>
        </row>
        <row r="45">
          <cell r="H45">
            <v>2.97</v>
          </cell>
          <cell r="Q45">
            <v>68</v>
          </cell>
          <cell r="W45" t="str">
            <v>453249</v>
          </cell>
        </row>
        <row r="46">
          <cell r="H46">
            <v>3.81</v>
          </cell>
          <cell r="Q46">
            <v>68</v>
          </cell>
          <cell r="W46" t="str">
            <v>4532410</v>
          </cell>
        </row>
        <row r="47">
          <cell r="H47">
            <v>4.74</v>
          </cell>
          <cell r="Q47">
            <v>67</v>
          </cell>
          <cell r="W47" t="str">
            <v>4532411</v>
          </cell>
        </row>
        <row r="48">
          <cell r="H48">
            <v>5.25</v>
          </cell>
          <cell r="Q48">
            <v>64</v>
          </cell>
          <cell r="W48" t="str">
            <v>4532412</v>
          </cell>
        </row>
        <row r="49">
          <cell r="H49">
            <v>5.23</v>
          </cell>
          <cell r="Q49">
            <v>96</v>
          </cell>
          <cell r="W49" t="str">
            <v>4532413</v>
          </cell>
        </row>
        <row r="50">
          <cell r="H50">
            <v>4.7699999999999996</v>
          </cell>
          <cell r="Q50">
            <v>93</v>
          </cell>
          <cell r="W50" t="str">
            <v>4532414</v>
          </cell>
        </row>
        <row r="51">
          <cell r="H51">
            <v>3.11</v>
          </cell>
          <cell r="Q51">
            <v>70</v>
          </cell>
          <cell r="W51" t="str">
            <v>4532415</v>
          </cell>
        </row>
        <row r="52">
          <cell r="H52">
            <v>1.44</v>
          </cell>
          <cell r="Q52">
            <v>56</v>
          </cell>
          <cell r="W52" t="str">
            <v>4532416</v>
          </cell>
        </row>
        <row r="53">
          <cell r="H53">
            <v>0.76</v>
          </cell>
          <cell r="Q53">
            <v>52</v>
          </cell>
          <cell r="W53" t="str">
            <v>4532417</v>
          </cell>
        </row>
        <row r="54">
          <cell r="H54">
            <v>0.52</v>
          </cell>
          <cell r="Q54">
            <v>60</v>
          </cell>
          <cell r="W54" t="str">
            <v>4532418</v>
          </cell>
        </row>
        <row r="55">
          <cell r="H55">
            <v>0.36</v>
          </cell>
          <cell r="Q55">
            <v>99</v>
          </cell>
          <cell r="W55" t="str">
            <v>4532419</v>
          </cell>
        </row>
        <row r="56">
          <cell r="H56">
            <v>0.03</v>
          </cell>
          <cell r="Q56">
            <v>85</v>
          </cell>
          <cell r="W56" t="str">
            <v>4532420</v>
          </cell>
        </row>
        <row r="57">
          <cell r="H57">
            <v>-0.06</v>
          </cell>
          <cell r="Q57">
            <v>78</v>
          </cell>
          <cell r="W57" t="str">
            <v>4532421</v>
          </cell>
        </row>
        <row r="58">
          <cell r="H58">
            <v>0.08</v>
          </cell>
          <cell r="Q58">
            <v>82</v>
          </cell>
          <cell r="W58" t="str">
            <v>4532422</v>
          </cell>
        </row>
        <row r="59">
          <cell r="H59">
            <v>0.51</v>
          </cell>
          <cell r="Q59">
            <v>85</v>
          </cell>
          <cell r="W59" t="str">
            <v>4532423</v>
          </cell>
        </row>
        <row r="60">
          <cell r="H60">
            <v>1.07</v>
          </cell>
          <cell r="Q60">
            <v>88</v>
          </cell>
          <cell r="W60" t="str">
            <v>453250</v>
          </cell>
        </row>
        <row r="61">
          <cell r="H61">
            <v>1.21</v>
          </cell>
          <cell r="Q61">
            <v>99</v>
          </cell>
          <cell r="W61" t="str">
            <v>453251</v>
          </cell>
        </row>
        <row r="62">
          <cell r="H62">
            <v>1.17</v>
          </cell>
          <cell r="Q62">
            <v>100</v>
          </cell>
          <cell r="W62" t="str">
            <v>453252</v>
          </cell>
        </row>
        <row r="63">
          <cell r="H63">
            <v>1.2</v>
          </cell>
          <cell r="Q63">
            <v>100</v>
          </cell>
          <cell r="W63" t="str">
            <v>453253</v>
          </cell>
        </row>
        <row r="64">
          <cell r="H64">
            <v>0.97</v>
          </cell>
          <cell r="Q64">
            <v>100</v>
          </cell>
          <cell r="W64" t="str">
            <v>453254</v>
          </cell>
        </row>
        <row r="65">
          <cell r="H65">
            <v>1.0900000000000001</v>
          </cell>
          <cell r="Q65">
            <v>100</v>
          </cell>
          <cell r="W65" t="str">
            <v>453255</v>
          </cell>
        </row>
        <row r="66">
          <cell r="H66">
            <v>1</v>
          </cell>
          <cell r="Q66">
            <v>100</v>
          </cell>
          <cell r="W66" t="str">
            <v>453256</v>
          </cell>
        </row>
        <row r="67">
          <cell r="H67">
            <v>1.79</v>
          </cell>
          <cell r="Q67">
            <v>98</v>
          </cell>
          <cell r="W67" t="str">
            <v>453257</v>
          </cell>
        </row>
        <row r="68">
          <cell r="H68">
            <v>2.67</v>
          </cell>
          <cell r="Q68">
            <v>97</v>
          </cell>
          <cell r="W68" t="str">
            <v>453258</v>
          </cell>
        </row>
        <row r="69">
          <cell r="H69">
            <v>3.22</v>
          </cell>
          <cell r="Q69">
            <v>96</v>
          </cell>
          <cell r="W69" t="str">
            <v>453259</v>
          </cell>
        </row>
        <row r="70">
          <cell r="H70">
            <v>3.73</v>
          </cell>
          <cell r="Q70">
            <v>94</v>
          </cell>
          <cell r="W70" t="str">
            <v>4532510</v>
          </cell>
        </row>
        <row r="71">
          <cell r="H71">
            <v>4.05</v>
          </cell>
          <cell r="Q71">
            <v>93</v>
          </cell>
          <cell r="W71" t="str">
            <v>4532511</v>
          </cell>
        </row>
        <row r="72">
          <cell r="H72">
            <v>4.29</v>
          </cell>
          <cell r="Q72">
            <v>92</v>
          </cell>
          <cell r="W72" t="str">
            <v>4532512</v>
          </cell>
        </row>
        <row r="73">
          <cell r="H73">
            <v>4.29</v>
          </cell>
          <cell r="Q73">
            <v>81</v>
          </cell>
          <cell r="W73" t="str">
            <v>4532513</v>
          </cell>
        </row>
        <row r="74">
          <cell r="H74">
            <v>3.87</v>
          </cell>
          <cell r="Q74">
            <v>90</v>
          </cell>
          <cell r="W74" t="str">
            <v>4532514</v>
          </cell>
        </row>
        <row r="75">
          <cell r="H75">
            <v>3.21</v>
          </cell>
          <cell r="Q75">
            <v>93</v>
          </cell>
          <cell r="W75" t="str">
            <v>4532515</v>
          </cell>
        </row>
        <row r="76">
          <cell r="H76">
            <v>2.78</v>
          </cell>
          <cell r="Q76">
            <v>94</v>
          </cell>
          <cell r="W76" t="str">
            <v>4532516</v>
          </cell>
        </row>
        <row r="77">
          <cell r="H77">
            <v>2.81</v>
          </cell>
          <cell r="Q77">
            <v>94</v>
          </cell>
          <cell r="W77" t="str">
            <v>4532517</v>
          </cell>
        </row>
        <row r="78">
          <cell r="H78">
            <v>3.07</v>
          </cell>
          <cell r="Q78">
            <v>95</v>
          </cell>
          <cell r="W78" t="str">
            <v>4532518</v>
          </cell>
        </row>
        <row r="79">
          <cell r="H79">
            <v>3.24</v>
          </cell>
          <cell r="Q79">
            <v>98</v>
          </cell>
          <cell r="W79" t="str">
            <v>4532519</v>
          </cell>
        </row>
        <row r="80">
          <cell r="H80">
            <v>3.34</v>
          </cell>
          <cell r="Q80">
            <v>94</v>
          </cell>
          <cell r="W80" t="str">
            <v>4532520</v>
          </cell>
        </row>
        <row r="81">
          <cell r="H81">
            <v>3.48</v>
          </cell>
          <cell r="Q81">
            <v>90</v>
          </cell>
          <cell r="W81" t="str">
            <v>4532521</v>
          </cell>
        </row>
        <row r="82">
          <cell r="H82">
            <v>3.61</v>
          </cell>
          <cell r="Q82">
            <v>90</v>
          </cell>
          <cell r="W82" t="str">
            <v>4532522</v>
          </cell>
        </row>
        <row r="83">
          <cell r="H83">
            <v>3.82</v>
          </cell>
          <cell r="Q83">
            <v>92</v>
          </cell>
          <cell r="W83" t="str">
            <v>4532523</v>
          </cell>
        </row>
        <row r="84">
          <cell r="H84">
            <v>3.99</v>
          </cell>
          <cell r="Q84">
            <v>92</v>
          </cell>
          <cell r="W84" t="str">
            <v>453260</v>
          </cell>
        </row>
        <row r="85">
          <cell r="H85">
            <v>4.0999999999999996</v>
          </cell>
          <cell r="Q85">
            <v>99</v>
          </cell>
          <cell r="W85" t="str">
            <v>453261</v>
          </cell>
        </row>
        <row r="86">
          <cell r="H86">
            <v>4.1100000000000003</v>
          </cell>
          <cell r="Q86">
            <v>99</v>
          </cell>
          <cell r="W86" t="str">
            <v>453262</v>
          </cell>
        </row>
        <row r="87">
          <cell r="H87">
            <v>4.24</v>
          </cell>
          <cell r="Q87">
            <v>98</v>
          </cell>
          <cell r="W87" t="str">
            <v>453263</v>
          </cell>
        </row>
        <row r="88">
          <cell r="H88">
            <v>4.3899999999999997</v>
          </cell>
          <cell r="Q88">
            <v>99</v>
          </cell>
          <cell r="W88" t="str">
            <v>453264</v>
          </cell>
        </row>
        <row r="89">
          <cell r="H89">
            <v>4.58</v>
          </cell>
          <cell r="Q89">
            <v>99</v>
          </cell>
          <cell r="W89" t="str">
            <v>453265</v>
          </cell>
        </row>
        <row r="90">
          <cell r="H90">
            <v>4.6399999999999997</v>
          </cell>
          <cell r="Q90">
            <v>99</v>
          </cell>
          <cell r="W90" t="str">
            <v>453266</v>
          </cell>
        </row>
        <row r="91">
          <cell r="H91">
            <v>4.82</v>
          </cell>
          <cell r="Q91">
            <v>100</v>
          </cell>
          <cell r="W91" t="str">
            <v>453267</v>
          </cell>
        </row>
        <row r="92">
          <cell r="H92">
            <v>5.12</v>
          </cell>
          <cell r="Q92">
            <v>100</v>
          </cell>
          <cell r="W92" t="str">
            <v>453268</v>
          </cell>
        </row>
        <row r="93">
          <cell r="H93">
            <v>5.73</v>
          </cell>
          <cell r="Q93">
            <v>100</v>
          </cell>
          <cell r="W93" t="str">
            <v>453269</v>
          </cell>
        </row>
        <row r="94">
          <cell r="H94">
            <v>6.6</v>
          </cell>
          <cell r="Q94">
            <v>100</v>
          </cell>
          <cell r="W94" t="str">
            <v>4532610</v>
          </cell>
        </row>
        <row r="95">
          <cell r="H95">
            <v>7.15</v>
          </cell>
          <cell r="Q95">
            <v>100</v>
          </cell>
          <cell r="W95" t="str">
            <v>4532611</v>
          </cell>
        </row>
        <row r="96">
          <cell r="H96">
            <v>7.04</v>
          </cell>
          <cell r="Q96">
            <v>100</v>
          </cell>
          <cell r="W96" t="str">
            <v>4532612</v>
          </cell>
        </row>
        <row r="97">
          <cell r="H97">
            <v>7.25</v>
          </cell>
          <cell r="Q97">
            <v>100</v>
          </cell>
          <cell r="W97" t="str">
            <v>4532613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97"/>
  <sheetViews>
    <sheetView tabSelected="1" workbookViewId="0">
      <selection activeCell="A2" sqref="A2:B97"/>
    </sheetView>
  </sheetViews>
  <sheetFormatPr baseColWidth="8" defaultRowHeight="15"/>
  <cols>
    <col width="18.140625" bestFit="1" customWidth="1" min="1" max="1"/>
    <col width="7.85546875" bestFit="1" customWidth="1" min="2" max="2"/>
    <col width="8.28515625" bestFit="1" customWidth="1" min="3" max="3"/>
    <col width="11.85546875" bestFit="1" customWidth="1" min="4" max="4"/>
    <col width="4.85546875" bestFit="1" customWidth="1" min="5" max="5"/>
  </cols>
  <sheetData>
    <row r="1">
      <c r="A1" s="1" t="inlineStr">
        <is>
          <t>Data</t>
        </is>
      </c>
      <c r="B1" s="1" t="inlineStr">
        <is>
          <t>Interval</t>
        </is>
      </c>
      <c r="C1" s="1" t="inlineStr">
        <is>
          <t>Radiatie</t>
        </is>
      </c>
      <c r="D1" s="1" t="inlineStr">
        <is>
          <t>Temperatura</t>
        </is>
      </c>
      <c r="E1" s="1" t="inlineStr">
        <is>
          <t>Nori</t>
        </is>
      </c>
    </row>
    <row r="2">
      <c r="A2" s="2" t="n">
        <v>45322</v>
      </c>
      <c r="B2" t="n">
        <v>14</v>
      </c>
      <c r="C2">
        <f>VLOOKUP("2024-01-31 00:00:0014", [Concatenated_Hourly_GHI.xlsx]Sheet1!$N:$O, 2, FALSE)</f>
        <v/>
      </c>
      <c r="D2">
        <f>INDEX([2]Sheet1!$H:$H, MATCH(A2&amp;B2, [2]Sheet1!$W:$W, 0))</f>
        <v/>
      </c>
      <c r="E2">
        <f>INDEX([2]Sheet1!$Q:$Q, MATCH(A2&amp;B2, [2]Sheet1!$W:$W, 0))</f>
        <v/>
      </c>
    </row>
    <row r="3">
      <c r="A3" s="2" t="n">
        <v>45322</v>
      </c>
      <c r="B3" t="n">
        <v>15</v>
      </c>
      <c r="C3">
        <f>VLOOKUP("2024-01-31 00:00:0015", [Concatenated_Hourly_GHI.xlsx]Sheet1!$N:$O, 2, FALSE)</f>
        <v/>
      </c>
      <c r="D3">
        <f>INDEX([2]Sheet1!$H:$H, MATCH(A3&amp;B3, [2]Sheet1!$W:$W, 0))</f>
        <v/>
      </c>
      <c r="E3">
        <f>INDEX([2]Sheet1!$Q:$Q, MATCH(A3&amp;B3, [2]Sheet1!$W:$W, 0))</f>
        <v/>
      </c>
    </row>
    <row r="4">
      <c r="A4" s="2" t="n">
        <v>45322</v>
      </c>
      <c r="B4" t="n">
        <v>16</v>
      </c>
      <c r="C4">
        <f>VLOOKUP("2024-01-31 00:00:0016", [Concatenated_Hourly_GHI.xlsx]Sheet1!$N:$O, 2, FALSE)</f>
        <v/>
      </c>
      <c r="D4">
        <f>INDEX([2]Sheet1!$H:$H, MATCH(A4&amp;B4, [2]Sheet1!$W:$W, 0))</f>
        <v/>
      </c>
      <c r="E4">
        <f>INDEX([2]Sheet1!$Q:$Q, MATCH(A4&amp;B4, [2]Sheet1!$W:$W, 0))</f>
        <v/>
      </c>
    </row>
    <row r="5">
      <c r="A5" s="2" t="n">
        <v>45322</v>
      </c>
      <c r="B5" t="n">
        <v>17</v>
      </c>
      <c r="C5">
        <f>VLOOKUP("2024-01-31 00:00:0017", [Concatenated_Hourly_GHI.xlsx]Sheet1!$N:$O, 2, FALSE)</f>
        <v/>
      </c>
      <c r="D5">
        <f>INDEX([2]Sheet1!$H:$H, MATCH(A5&amp;B5, [2]Sheet1!$W:$W, 0))</f>
        <v/>
      </c>
      <c r="E5">
        <f>INDEX([2]Sheet1!$Q:$Q, MATCH(A5&amp;B5, [2]Sheet1!$W:$W, 0))</f>
        <v/>
      </c>
    </row>
    <row r="6">
      <c r="A6" s="2" t="n">
        <v>45322</v>
      </c>
      <c r="B6" t="n">
        <v>18</v>
      </c>
      <c r="C6">
        <f>VLOOKUP("2024-01-31 00:00:0018", [Concatenated_Hourly_GHI.xlsx]Sheet1!$N:$O, 2, FALSE)</f>
        <v/>
      </c>
      <c r="D6">
        <f>INDEX([2]Sheet1!$H:$H, MATCH(A6&amp;B6, [2]Sheet1!$W:$W, 0))</f>
        <v/>
      </c>
      <c r="E6">
        <f>INDEX([2]Sheet1!$Q:$Q, MATCH(A6&amp;B6, [2]Sheet1!$W:$W, 0))</f>
        <v/>
      </c>
    </row>
    <row r="7">
      <c r="A7" s="2" t="n">
        <v>45322</v>
      </c>
      <c r="B7" t="n">
        <v>19</v>
      </c>
      <c r="C7">
        <f>VLOOKUP("2024-01-31 00:00:0019", [Concatenated_Hourly_GHI.xlsx]Sheet1!$N:$O, 2, FALSE)</f>
        <v/>
      </c>
      <c r="D7">
        <f>INDEX([2]Sheet1!$H:$H, MATCH(A7&amp;B7, [2]Sheet1!$W:$W, 0))</f>
        <v/>
      </c>
      <c r="E7">
        <f>INDEX([2]Sheet1!$Q:$Q, MATCH(A7&amp;B7, [2]Sheet1!$W:$W, 0))</f>
        <v/>
      </c>
    </row>
    <row r="8">
      <c r="A8" s="2" t="n">
        <v>45322</v>
      </c>
      <c r="B8" t="n">
        <v>20</v>
      </c>
      <c r="C8">
        <f>VLOOKUP("2024-01-31 00:00:0020", [Concatenated_Hourly_GHI.xlsx]Sheet1!$N:$O, 2, FALSE)</f>
        <v/>
      </c>
      <c r="D8">
        <f>INDEX([2]Sheet1!$H:$H, MATCH(A8&amp;B8, [2]Sheet1!$W:$W, 0))</f>
        <v/>
      </c>
      <c r="E8">
        <f>INDEX([2]Sheet1!$Q:$Q, MATCH(A8&amp;B8, [2]Sheet1!$W:$W, 0))</f>
        <v/>
      </c>
    </row>
    <row r="9">
      <c r="A9" s="2" t="n">
        <v>45322</v>
      </c>
      <c r="B9" t="n">
        <v>21</v>
      </c>
      <c r="C9">
        <f>VLOOKUP("2024-01-31 00:00:0021", [Concatenated_Hourly_GHI.xlsx]Sheet1!$N:$O, 2, FALSE)</f>
        <v/>
      </c>
      <c r="D9">
        <f>INDEX([2]Sheet1!$H:$H, MATCH(A9&amp;B9, [2]Sheet1!$W:$W, 0))</f>
        <v/>
      </c>
      <c r="E9">
        <f>INDEX([2]Sheet1!$Q:$Q, MATCH(A9&amp;B9, [2]Sheet1!$W:$W, 0))</f>
        <v/>
      </c>
    </row>
    <row r="10">
      <c r="A10" s="2" t="n">
        <v>45322</v>
      </c>
      <c r="B10" t="n">
        <v>22</v>
      </c>
      <c r="C10">
        <f>VLOOKUP("2024-01-31 00:00:0022", [Concatenated_Hourly_GHI.xlsx]Sheet1!$N:$O, 2, FALSE)</f>
        <v/>
      </c>
      <c r="D10">
        <f>INDEX([2]Sheet1!$H:$H, MATCH(A10&amp;B10, [2]Sheet1!$W:$W, 0))</f>
        <v/>
      </c>
      <c r="E10">
        <f>INDEX([2]Sheet1!$Q:$Q, MATCH(A10&amp;B10, [2]Sheet1!$W:$W, 0))</f>
        <v/>
      </c>
    </row>
    <row r="11">
      <c r="A11" s="2" t="n">
        <v>45322</v>
      </c>
      <c r="B11" t="n">
        <v>23</v>
      </c>
      <c r="C11">
        <f>VLOOKUP("2024-01-31 00:00:0023", [Concatenated_Hourly_GHI.xlsx]Sheet1!$N:$O, 2, FALSE)</f>
        <v/>
      </c>
      <c r="D11">
        <f>INDEX([2]Sheet1!$H:$H, MATCH(A11&amp;B11, [2]Sheet1!$W:$W, 0))</f>
        <v/>
      </c>
      <c r="E11">
        <f>INDEX([2]Sheet1!$Q:$Q, MATCH(A11&amp;B11, [2]Sheet1!$W:$W, 0))</f>
        <v/>
      </c>
    </row>
    <row r="12">
      <c r="A12" s="2" t="n">
        <v>45323</v>
      </c>
      <c r="B12" t="n">
        <v>0</v>
      </c>
      <c r="C12">
        <f>VLOOKUP("2024-02-01 00:00:000", [Concatenated_Hourly_GHI.xlsx]Sheet1!$N:$O, 2, FALSE)</f>
        <v/>
      </c>
      <c r="D12">
        <f>INDEX([2]Sheet1!$H:$H, MATCH(A12&amp;B12, [2]Sheet1!$W:$W, 0))</f>
        <v/>
      </c>
      <c r="E12">
        <f>INDEX([2]Sheet1!$Q:$Q, MATCH(A12&amp;B12, [2]Sheet1!$W:$W, 0))</f>
        <v/>
      </c>
    </row>
    <row r="13">
      <c r="A13" s="2" t="n">
        <v>45323</v>
      </c>
      <c r="B13" t="n">
        <v>1</v>
      </c>
      <c r="C13">
        <f>VLOOKUP("2024-02-01 00:00:001", [Concatenated_Hourly_GHI.xlsx]Sheet1!$N:$O, 2, FALSE)</f>
        <v/>
      </c>
      <c r="D13">
        <f>INDEX([2]Sheet1!$H:$H, MATCH(A13&amp;B13, [2]Sheet1!$W:$W, 0))</f>
        <v/>
      </c>
      <c r="E13">
        <f>INDEX([2]Sheet1!$Q:$Q, MATCH(A13&amp;B13, [2]Sheet1!$W:$W, 0))</f>
        <v/>
      </c>
    </row>
    <row r="14">
      <c r="A14" s="2" t="n">
        <v>45323</v>
      </c>
      <c r="B14" t="n">
        <v>2</v>
      </c>
      <c r="C14">
        <f>VLOOKUP("2024-02-01 00:00:002", [Concatenated_Hourly_GHI.xlsx]Sheet1!$N:$O, 2, FALSE)</f>
        <v/>
      </c>
      <c r="D14">
        <f>INDEX([2]Sheet1!$H:$H, MATCH(A14&amp;B14, [2]Sheet1!$W:$W, 0))</f>
        <v/>
      </c>
      <c r="E14">
        <f>INDEX([2]Sheet1!$Q:$Q, MATCH(A14&amp;B14, [2]Sheet1!$W:$W, 0))</f>
        <v/>
      </c>
    </row>
    <row r="15">
      <c r="A15" s="2" t="n">
        <v>45323</v>
      </c>
      <c r="B15" t="n">
        <v>3</v>
      </c>
      <c r="C15">
        <f>VLOOKUP("2024-02-01 00:00:003", [Concatenated_Hourly_GHI.xlsx]Sheet1!$N:$O, 2, FALSE)</f>
        <v/>
      </c>
      <c r="D15">
        <f>INDEX([2]Sheet1!$H:$H, MATCH(A15&amp;B15, [2]Sheet1!$W:$W, 0))</f>
        <v/>
      </c>
      <c r="E15">
        <f>INDEX([2]Sheet1!$Q:$Q, MATCH(A15&amp;B15, [2]Sheet1!$W:$W, 0))</f>
        <v/>
      </c>
    </row>
    <row r="16">
      <c r="A16" s="2" t="n">
        <v>45323</v>
      </c>
      <c r="B16" t="n">
        <v>4</v>
      </c>
      <c r="C16">
        <f>VLOOKUP("2024-02-01 00:00:004", [Concatenated_Hourly_GHI.xlsx]Sheet1!$N:$O, 2, FALSE)</f>
        <v/>
      </c>
      <c r="D16">
        <f>INDEX([2]Sheet1!$H:$H, MATCH(A16&amp;B16, [2]Sheet1!$W:$W, 0))</f>
        <v/>
      </c>
      <c r="E16">
        <f>INDEX([2]Sheet1!$Q:$Q, MATCH(A16&amp;B16, [2]Sheet1!$W:$W, 0))</f>
        <v/>
      </c>
    </row>
    <row r="17">
      <c r="A17" s="2" t="n">
        <v>45323</v>
      </c>
      <c r="B17" t="n">
        <v>5</v>
      </c>
      <c r="C17">
        <f>VLOOKUP("2024-02-01 00:00:005", [Concatenated_Hourly_GHI.xlsx]Sheet1!$N:$O, 2, FALSE)</f>
        <v/>
      </c>
      <c r="D17">
        <f>INDEX([2]Sheet1!$H:$H, MATCH(A17&amp;B17, [2]Sheet1!$W:$W, 0))</f>
        <v/>
      </c>
      <c r="E17">
        <f>INDEX([2]Sheet1!$Q:$Q, MATCH(A17&amp;B17, [2]Sheet1!$W:$W, 0))</f>
        <v/>
      </c>
    </row>
    <row r="18">
      <c r="A18" s="2" t="n">
        <v>45323</v>
      </c>
      <c r="B18" t="n">
        <v>6</v>
      </c>
      <c r="C18">
        <f>VLOOKUP("2024-02-01 00:00:006", [Concatenated_Hourly_GHI.xlsx]Sheet1!$N:$O, 2, FALSE)</f>
        <v/>
      </c>
      <c r="D18">
        <f>INDEX([2]Sheet1!$H:$H, MATCH(A18&amp;B18, [2]Sheet1!$W:$W, 0))</f>
        <v/>
      </c>
      <c r="E18">
        <f>INDEX([2]Sheet1!$Q:$Q, MATCH(A18&amp;B18, [2]Sheet1!$W:$W, 0))</f>
        <v/>
      </c>
    </row>
    <row r="19">
      <c r="A19" s="2" t="n">
        <v>45323</v>
      </c>
      <c r="B19" t="n">
        <v>7</v>
      </c>
      <c r="C19">
        <f>VLOOKUP("2024-02-01 00:00:007", [Concatenated_Hourly_GHI.xlsx]Sheet1!$N:$O, 2, FALSE)</f>
        <v/>
      </c>
      <c r="D19">
        <f>INDEX([2]Sheet1!$H:$H, MATCH(A19&amp;B19, [2]Sheet1!$W:$W, 0))</f>
        <v/>
      </c>
      <c r="E19">
        <f>INDEX([2]Sheet1!$Q:$Q, MATCH(A19&amp;B19, [2]Sheet1!$W:$W, 0))</f>
        <v/>
      </c>
    </row>
    <row r="20">
      <c r="A20" s="2" t="n">
        <v>45323</v>
      </c>
      <c r="B20" t="n">
        <v>8</v>
      </c>
      <c r="C20">
        <f>VLOOKUP("2024-02-01 00:00:008", [Concatenated_Hourly_GHI.xlsx]Sheet1!$N:$O, 2, FALSE)</f>
        <v/>
      </c>
      <c r="D20">
        <f>INDEX([2]Sheet1!$H:$H, MATCH(A20&amp;B20, [2]Sheet1!$W:$W, 0))</f>
        <v/>
      </c>
      <c r="E20">
        <f>INDEX([2]Sheet1!$Q:$Q, MATCH(A20&amp;B20, [2]Sheet1!$W:$W, 0))</f>
        <v/>
      </c>
    </row>
    <row r="21">
      <c r="A21" s="2" t="n">
        <v>45323</v>
      </c>
      <c r="B21" t="n">
        <v>9</v>
      </c>
      <c r="C21">
        <f>VLOOKUP("2024-02-01 00:00:009", [Concatenated_Hourly_GHI.xlsx]Sheet1!$N:$O, 2, FALSE)</f>
        <v/>
      </c>
      <c r="D21">
        <f>INDEX([2]Sheet1!$H:$H, MATCH(A21&amp;B21, [2]Sheet1!$W:$W, 0))</f>
        <v/>
      </c>
      <c r="E21">
        <f>INDEX([2]Sheet1!$Q:$Q, MATCH(A21&amp;B21, [2]Sheet1!$W:$W, 0))</f>
        <v/>
      </c>
    </row>
    <row r="22">
      <c r="A22" s="2" t="n">
        <v>45323</v>
      </c>
      <c r="B22" t="n">
        <v>10</v>
      </c>
      <c r="C22">
        <f>VLOOKUP("2024-02-01 00:00:0010", [Concatenated_Hourly_GHI.xlsx]Sheet1!$N:$O, 2, FALSE)</f>
        <v/>
      </c>
      <c r="D22">
        <f>INDEX([2]Sheet1!$H:$H, MATCH(A22&amp;B22, [2]Sheet1!$W:$W, 0))</f>
        <v/>
      </c>
      <c r="E22">
        <f>INDEX([2]Sheet1!$Q:$Q, MATCH(A22&amp;B22, [2]Sheet1!$W:$W, 0))</f>
        <v/>
      </c>
    </row>
    <row r="23">
      <c r="A23" s="2" t="n">
        <v>45323</v>
      </c>
      <c r="B23" t="n">
        <v>11</v>
      </c>
      <c r="C23">
        <f>VLOOKUP("2024-02-01 00:00:0011", [Concatenated_Hourly_GHI.xlsx]Sheet1!$N:$O, 2, FALSE)</f>
        <v/>
      </c>
      <c r="D23">
        <f>INDEX([2]Sheet1!$H:$H, MATCH(A23&amp;B23, [2]Sheet1!$W:$W, 0))</f>
        <v/>
      </c>
      <c r="E23">
        <f>INDEX([2]Sheet1!$Q:$Q, MATCH(A23&amp;B23, [2]Sheet1!$W:$W, 0))</f>
        <v/>
      </c>
    </row>
    <row r="24">
      <c r="A24" s="2" t="n">
        <v>45323</v>
      </c>
      <c r="B24" t="n">
        <v>12</v>
      </c>
      <c r="C24">
        <f>VLOOKUP("2024-02-01 00:00:0012", [Concatenated_Hourly_GHI.xlsx]Sheet1!$N:$O, 2, FALSE)</f>
        <v/>
      </c>
      <c r="D24">
        <f>INDEX([2]Sheet1!$H:$H, MATCH(A24&amp;B24, [2]Sheet1!$W:$W, 0))</f>
        <v/>
      </c>
      <c r="E24">
        <f>INDEX([2]Sheet1!$Q:$Q, MATCH(A24&amp;B24, [2]Sheet1!$W:$W, 0))</f>
        <v/>
      </c>
    </row>
    <row r="25">
      <c r="A25" s="2" t="n">
        <v>45323</v>
      </c>
      <c r="B25" t="n">
        <v>13</v>
      </c>
      <c r="C25">
        <f>VLOOKUP("2024-02-01 00:00:0013", [Concatenated_Hourly_GHI.xlsx]Sheet1!$N:$O, 2, FALSE)</f>
        <v/>
      </c>
      <c r="D25">
        <f>INDEX([2]Sheet1!$H:$H, MATCH(A25&amp;B25, [2]Sheet1!$W:$W, 0))</f>
        <v/>
      </c>
      <c r="E25">
        <f>INDEX([2]Sheet1!$Q:$Q, MATCH(A25&amp;B25, [2]Sheet1!$W:$W, 0))</f>
        <v/>
      </c>
    </row>
    <row r="26">
      <c r="A26" s="2" t="n">
        <v>45323</v>
      </c>
      <c r="B26" t="n">
        <v>14</v>
      </c>
      <c r="C26">
        <f>VLOOKUP("2024-02-01 00:00:0014", [Concatenated_Hourly_GHI.xlsx]Sheet1!$N:$O, 2, FALSE)</f>
        <v/>
      </c>
      <c r="D26">
        <f>INDEX([2]Sheet1!$H:$H, MATCH(A26&amp;B26, [2]Sheet1!$W:$W, 0))</f>
        <v/>
      </c>
      <c r="E26">
        <f>INDEX([2]Sheet1!$Q:$Q, MATCH(A26&amp;B26, [2]Sheet1!$W:$W, 0))</f>
        <v/>
      </c>
    </row>
    <row r="27">
      <c r="A27" s="2" t="n">
        <v>45323</v>
      </c>
      <c r="B27" t="n">
        <v>15</v>
      </c>
      <c r="C27">
        <f>VLOOKUP("2024-02-01 00:00:0015", [Concatenated_Hourly_GHI.xlsx]Sheet1!$N:$O, 2, FALSE)</f>
        <v/>
      </c>
      <c r="D27">
        <f>INDEX([2]Sheet1!$H:$H, MATCH(A27&amp;B27, [2]Sheet1!$W:$W, 0))</f>
        <v/>
      </c>
      <c r="E27">
        <f>INDEX([2]Sheet1!$Q:$Q, MATCH(A27&amp;B27, [2]Sheet1!$W:$W, 0))</f>
        <v/>
      </c>
    </row>
    <row r="28">
      <c r="A28" s="2" t="n">
        <v>45323</v>
      </c>
      <c r="B28" t="n">
        <v>16</v>
      </c>
      <c r="C28">
        <f>VLOOKUP("2024-02-01 00:00:0016", [Concatenated_Hourly_GHI.xlsx]Sheet1!$N:$O, 2, FALSE)</f>
        <v/>
      </c>
      <c r="D28">
        <f>INDEX([2]Sheet1!$H:$H, MATCH(A28&amp;B28, [2]Sheet1!$W:$W, 0))</f>
        <v/>
      </c>
      <c r="E28">
        <f>INDEX([2]Sheet1!$Q:$Q, MATCH(A28&amp;B28, [2]Sheet1!$W:$W, 0))</f>
        <v/>
      </c>
    </row>
    <row r="29">
      <c r="A29" s="2" t="n">
        <v>45323</v>
      </c>
      <c r="B29" t="n">
        <v>17</v>
      </c>
      <c r="C29">
        <f>VLOOKUP("2024-02-01 00:00:0017", [Concatenated_Hourly_GHI.xlsx]Sheet1!$N:$O, 2, FALSE)</f>
        <v/>
      </c>
      <c r="D29">
        <f>INDEX([2]Sheet1!$H:$H, MATCH(A29&amp;B29, [2]Sheet1!$W:$W, 0))</f>
        <v/>
      </c>
      <c r="E29">
        <f>INDEX([2]Sheet1!$Q:$Q, MATCH(A29&amp;B29, [2]Sheet1!$W:$W, 0))</f>
        <v/>
      </c>
    </row>
    <row r="30">
      <c r="A30" s="2" t="n">
        <v>45323</v>
      </c>
      <c r="B30" t="n">
        <v>18</v>
      </c>
      <c r="C30">
        <f>VLOOKUP("2024-02-01 00:00:0018", [Concatenated_Hourly_GHI.xlsx]Sheet1!$N:$O, 2, FALSE)</f>
        <v/>
      </c>
      <c r="D30">
        <f>INDEX([2]Sheet1!$H:$H, MATCH(A30&amp;B30, [2]Sheet1!$W:$W, 0))</f>
        <v/>
      </c>
      <c r="E30">
        <f>INDEX([2]Sheet1!$Q:$Q, MATCH(A30&amp;B30, [2]Sheet1!$W:$W, 0))</f>
        <v/>
      </c>
    </row>
    <row r="31">
      <c r="A31" s="2" t="n">
        <v>45323</v>
      </c>
      <c r="B31" t="n">
        <v>19</v>
      </c>
      <c r="C31">
        <f>VLOOKUP("2024-02-01 00:00:0019", [Concatenated_Hourly_GHI.xlsx]Sheet1!$N:$O, 2, FALSE)</f>
        <v/>
      </c>
      <c r="D31">
        <f>INDEX([2]Sheet1!$H:$H, MATCH(A31&amp;B31, [2]Sheet1!$W:$W, 0))</f>
        <v/>
      </c>
      <c r="E31">
        <f>INDEX([2]Sheet1!$Q:$Q, MATCH(A31&amp;B31, [2]Sheet1!$W:$W, 0))</f>
        <v/>
      </c>
    </row>
    <row r="32">
      <c r="A32" s="2" t="n">
        <v>45323</v>
      </c>
      <c r="B32" t="n">
        <v>20</v>
      </c>
      <c r="C32">
        <f>VLOOKUP("2024-02-01 00:00:0020", [Concatenated_Hourly_GHI.xlsx]Sheet1!$N:$O, 2, FALSE)</f>
        <v/>
      </c>
      <c r="D32">
        <f>INDEX([2]Sheet1!$H:$H, MATCH(A32&amp;B32, [2]Sheet1!$W:$W, 0))</f>
        <v/>
      </c>
      <c r="E32">
        <f>INDEX([2]Sheet1!$Q:$Q, MATCH(A32&amp;B32, [2]Sheet1!$W:$W, 0))</f>
        <v/>
      </c>
    </row>
    <row r="33">
      <c r="A33" s="2" t="n">
        <v>45323</v>
      </c>
      <c r="B33" t="n">
        <v>21</v>
      </c>
      <c r="C33">
        <f>VLOOKUP("2024-02-01 00:00:0021", [Concatenated_Hourly_GHI.xlsx]Sheet1!$N:$O, 2, FALSE)</f>
        <v/>
      </c>
      <c r="D33">
        <f>INDEX([2]Sheet1!$H:$H, MATCH(A33&amp;B33, [2]Sheet1!$W:$W, 0))</f>
        <v/>
      </c>
      <c r="E33">
        <f>INDEX([2]Sheet1!$Q:$Q, MATCH(A33&amp;B33, [2]Sheet1!$W:$W, 0))</f>
        <v/>
      </c>
    </row>
    <row r="34">
      <c r="A34" s="2" t="n">
        <v>45323</v>
      </c>
      <c r="B34" t="n">
        <v>22</v>
      </c>
      <c r="C34">
        <f>VLOOKUP("2024-02-01 00:00:0022", [Concatenated_Hourly_GHI.xlsx]Sheet1!$N:$O, 2, FALSE)</f>
        <v/>
      </c>
      <c r="D34">
        <f>INDEX([2]Sheet1!$H:$H, MATCH(A34&amp;B34, [2]Sheet1!$W:$W, 0))</f>
        <v/>
      </c>
      <c r="E34">
        <f>INDEX([2]Sheet1!$Q:$Q, MATCH(A34&amp;B34, [2]Sheet1!$W:$W, 0))</f>
        <v/>
      </c>
    </row>
    <row r="35">
      <c r="A35" s="2" t="n">
        <v>45323</v>
      </c>
      <c r="B35" t="n">
        <v>23</v>
      </c>
      <c r="C35">
        <f>VLOOKUP("2024-02-01 00:00:0023", [Concatenated_Hourly_GHI.xlsx]Sheet1!$N:$O, 2, FALSE)</f>
        <v/>
      </c>
      <c r="D35">
        <f>INDEX([2]Sheet1!$H:$H, MATCH(A35&amp;B35, [2]Sheet1!$W:$W, 0))</f>
        <v/>
      </c>
      <c r="E35">
        <f>INDEX([2]Sheet1!$Q:$Q, MATCH(A35&amp;B35, [2]Sheet1!$W:$W, 0))</f>
        <v/>
      </c>
    </row>
    <row r="36">
      <c r="A36" s="2" t="n">
        <v>45324</v>
      </c>
      <c r="B36" t="n">
        <v>0</v>
      </c>
      <c r="C36">
        <f>VLOOKUP("2024-02-02 00:00:000", [Concatenated_Hourly_GHI.xlsx]Sheet1!$N:$O, 2, FALSE)</f>
        <v/>
      </c>
      <c r="D36">
        <f>INDEX([2]Sheet1!$H:$H, MATCH(A36&amp;B36, [2]Sheet1!$W:$W, 0))</f>
        <v/>
      </c>
      <c r="E36">
        <f>INDEX([2]Sheet1!$Q:$Q, MATCH(A36&amp;B36, [2]Sheet1!$W:$W, 0))</f>
        <v/>
      </c>
    </row>
    <row r="37">
      <c r="A37" s="2" t="n">
        <v>45324</v>
      </c>
      <c r="B37" t="n">
        <v>1</v>
      </c>
      <c r="C37">
        <f>VLOOKUP("2024-02-02 00:00:001", [Concatenated_Hourly_GHI.xlsx]Sheet1!$N:$O, 2, FALSE)</f>
        <v/>
      </c>
      <c r="D37">
        <f>INDEX([2]Sheet1!$H:$H, MATCH(A37&amp;B37, [2]Sheet1!$W:$W, 0))</f>
        <v/>
      </c>
      <c r="E37">
        <f>INDEX([2]Sheet1!$Q:$Q, MATCH(A37&amp;B37, [2]Sheet1!$W:$W, 0))</f>
        <v/>
      </c>
    </row>
    <row r="38">
      <c r="A38" s="2" t="n">
        <v>45324</v>
      </c>
      <c r="B38" t="n">
        <v>2</v>
      </c>
      <c r="C38">
        <f>VLOOKUP("2024-02-02 00:00:002", [Concatenated_Hourly_GHI.xlsx]Sheet1!$N:$O, 2, FALSE)</f>
        <v/>
      </c>
      <c r="D38">
        <f>INDEX([2]Sheet1!$H:$H, MATCH(A38&amp;B38, [2]Sheet1!$W:$W, 0))</f>
        <v/>
      </c>
      <c r="E38">
        <f>INDEX([2]Sheet1!$Q:$Q, MATCH(A38&amp;B38, [2]Sheet1!$W:$W, 0))</f>
        <v/>
      </c>
    </row>
    <row r="39">
      <c r="A39" s="2" t="n">
        <v>45324</v>
      </c>
      <c r="B39" t="n">
        <v>3</v>
      </c>
      <c r="C39">
        <f>VLOOKUP("2024-02-02 00:00:003", [Concatenated_Hourly_GHI.xlsx]Sheet1!$N:$O, 2, FALSE)</f>
        <v/>
      </c>
      <c r="D39">
        <f>INDEX([2]Sheet1!$H:$H, MATCH(A39&amp;B39, [2]Sheet1!$W:$W, 0))</f>
        <v/>
      </c>
      <c r="E39">
        <f>INDEX([2]Sheet1!$Q:$Q, MATCH(A39&amp;B39, [2]Sheet1!$W:$W, 0))</f>
        <v/>
      </c>
    </row>
    <row r="40">
      <c r="A40" s="2" t="n">
        <v>45324</v>
      </c>
      <c r="B40" t="n">
        <v>4</v>
      </c>
      <c r="C40">
        <f>VLOOKUP("2024-02-02 00:00:004", [Concatenated_Hourly_GHI.xlsx]Sheet1!$N:$O, 2, FALSE)</f>
        <v/>
      </c>
      <c r="D40">
        <f>INDEX([2]Sheet1!$H:$H, MATCH(A40&amp;B40, [2]Sheet1!$W:$W, 0))</f>
        <v/>
      </c>
      <c r="E40">
        <f>INDEX([2]Sheet1!$Q:$Q, MATCH(A40&amp;B40, [2]Sheet1!$W:$W, 0))</f>
        <v/>
      </c>
    </row>
    <row r="41">
      <c r="A41" s="2" t="n">
        <v>45324</v>
      </c>
      <c r="B41" t="n">
        <v>5</v>
      </c>
      <c r="C41">
        <f>VLOOKUP("2024-02-02 00:00:005", [Concatenated_Hourly_GHI.xlsx]Sheet1!$N:$O, 2, FALSE)</f>
        <v/>
      </c>
      <c r="D41">
        <f>INDEX([2]Sheet1!$H:$H, MATCH(A41&amp;B41, [2]Sheet1!$W:$W, 0))</f>
        <v/>
      </c>
      <c r="E41">
        <f>INDEX([2]Sheet1!$Q:$Q, MATCH(A41&amp;B41, [2]Sheet1!$W:$W, 0))</f>
        <v/>
      </c>
    </row>
    <row r="42">
      <c r="A42" s="2" t="n">
        <v>45324</v>
      </c>
      <c r="B42" t="n">
        <v>6</v>
      </c>
      <c r="C42">
        <f>VLOOKUP("2024-02-02 00:00:006", [Concatenated_Hourly_GHI.xlsx]Sheet1!$N:$O, 2, FALSE)</f>
        <v/>
      </c>
      <c r="D42">
        <f>INDEX([2]Sheet1!$H:$H, MATCH(A42&amp;B42, [2]Sheet1!$W:$W, 0))</f>
        <v/>
      </c>
      <c r="E42">
        <f>INDEX([2]Sheet1!$Q:$Q, MATCH(A42&amp;B42, [2]Sheet1!$W:$W, 0))</f>
        <v/>
      </c>
    </row>
    <row r="43">
      <c r="A43" s="2" t="n">
        <v>45324</v>
      </c>
      <c r="B43" t="n">
        <v>7</v>
      </c>
      <c r="C43">
        <f>VLOOKUP("2024-02-02 00:00:007", [Concatenated_Hourly_GHI.xlsx]Sheet1!$N:$O, 2, FALSE)</f>
        <v/>
      </c>
      <c r="D43">
        <f>INDEX([2]Sheet1!$H:$H, MATCH(A43&amp;B43, [2]Sheet1!$W:$W, 0))</f>
        <v/>
      </c>
      <c r="E43">
        <f>INDEX([2]Sheet1!$Q:$Q, MATCH(A43&amp;B43, [2]Sheet1!$W:$W, 0))</f>
        <v/>
      </c>
    </row>
    <row r="44">
      <c r="A44" s="2" t="n">
        <v>45324</v>
      </c>
      <c r="B44" t="n">
        <v>8</v>
      </c>
      <c r="C44">
        <f>VLOOKUP("2024-02-02 00:00:008", [Concatenated_Hourly_GHI.xlsx]Sheet1!$N:$O, 2, FALSE)</f>
        <v/>
      </c>
      <c r="D44">
        <f>INDEX([2]Sheet1!$H:$H, MATCH(A44&amp;B44, [2]Sheet1!$W:$W, 0))</f>
        <v/>
      </c>
      <c r="E44">
        <f>INDEX([2]Sheet1!$Q:$Q, MATCH(A44&amp;B44, [2]Sheet1!$W:$W, 0))</f>
        <v/>
      </c>
    </row>
    <row r="45">
      <c r="A45" s="2" t="n">
        <v>45324</v>
      </c>
      <c r="B45" t="n">
        <v>9</v>
      </c>
      <c r="C45">
        <f>VLOOKUP("2024-02-02 00:00:009", [Concatenated_Hourly_GHI.xlsx]Sheet1!$N:$O, 2, FALSE)</f>
        <v/>
      </c>
      <c r="D45">
        <f>INDEX([2]Sheet1!$H:$H, MATCH(A45&amp;B45, [2]Sheet1!$W:$W, 0))</f>
        <v/>
      </c>
      <c r="E45">
        <f>INDEX([2]Sheet1!$Q:$Q, MATCH(A45&amp;B45, [2]Sheet1!$W:$W, 0))</f>
        <v/>
      </c>
    </row>
    <row r="46">
      <c r="A46" s="2" t="n">
        <v>45324</v>
      </c>
      <c r="B46" t="n">
        <v>10</v>
      </c>
      <c r="C46">
        <f>VLOOKUP("2024-02-02 00:00:0010", [Concatenated_Hourly_GHI.xlsx]Sheet1!$N:$O, 2, FALSE)</f>
        <v/>
      </c>
      <c r="D46">
        <f>INDEX([2]Sheet1!$H:$H, MATCH(A46&amp;B46, [2]Sheet1!$W:$W, 0))</f>
        <v/>
      </c>
      <c r="E46">
        <f>INDEX([2]Sheet1!$Q:$Q, MATCH(A46&amp;B46, [2]Sheet1!$W:$W, 0))</f>
        <v/>
      </c>
    </row>
    <row r="47">
      <c r="A47" s="2" t="n">
        <v>45324</v>
      </c>
      <c r="B47" t="n">
        <v>11</v>
      </c>
      <c r="C47">
        <f>VLOOKUP("2024-02-02 00:00:0011", [Concatenated_Hourly_GHI.xlsx]Sheet1!$N:$O, 2, FALSE)</f>
        <v/>
      </c>
      <c r="D47">
        <f>INDEX([2]Sheet1!$H:$H, MATCH(A47&amp;B47, [2]Sheet1!$W:$W, 0))</f>
        <v/>
      </c>
      <c r="E47">
        <f>INDEX([2]Sheet1!$Q:$Q, MATCH(A47&amp;B47, [2]Sheet1!$W:$W, 0))</f>
        <v/>
      </c>
    </row>
    <row r="48">
      <c r="A48" s="2" t="n">
        <v>45324</v>
      </c>
      <c r="B48" t="n">
        <v>12</v>
      </c>
      <c r="C48">
        <f>VLOOKUP("2024-02-02 00:00:0012", [Concatenated_Hourly_GHI.xlsx]Sheet1!$N:$O, 2, FALSE)</f>
        <v/>
      </c>
      <c r="D48">
        <f>INDEX([2]Sheet1!$H:$H, MATCH(A48&amp;B48, [2]Sheet1!$W:$W, 0))</f>
        <v/>
      </c>
      <c r="E48">
        <f>INDEX([2]Sheet1!$Q:$Q, MATCH(A48&amp;B48, [2]Sheet1!$W:$W, 0))</f>
        <v/>
      </c>
    </row>
    <row r="49">
      <c r="A49" s="2" t="n">
        <v>45324</v>
      </c>
      <c r="B49" t="n">
        <v>13</v>
      </c>
      <c r="C49">
        <f>VLOOKUP("2024-02-02 00:00:0013", [Concatenated_Hourly_GHI.xlsx]Sheet1!$N:$O, 2, FALSE)</f>
        <v/>
      </c>
      <c r="D49">
        <f>INDEX([2]Sheet1!$H:$H, MATCH(A49&amp;B49, [2]Sheet1!$W:$W, 0))</f>
        <v/>
      </c>
      <c r="E49">
        <f>INDEX([2]Sheet1!$Q:$Q, MATCH(A49&amp;B49, [2]Sheet1!$W:$W, 0))</f>
        <v/>
      </c>
    </row>
    <row r="50">
      <c r="A50" s="2" t="n">
        <v>45324</v>
      </c>
      <c r="B50" t="n">
        <v>14</v>
      </c>
      <c r="C50">
        <f>VLOOKUP("2024-02-02 00:00:0014", [Concatenated_Hourly_GHI.xlsx]Sheet1!$N:$O, 2, FALSE)</f>
        <v/>
      </c>
      <c r="D50">
        <f>INDEX([2]Sheet1!$H:$H, MATCH(A50&amp;B50, [2]Sheet1!$W:$W, 0))</f>
        <v/>
      </c>
      <c r="E50">
        <f>INDEX([2]Sheet1!$Q:$Q, MATCH(A50&amp;B50, [2]Sheet1!$W:$W, 0))</f>
        <v/>
      </c>
    </row>
    <row r="51">
      <c r="A51" s="2" t="n">
        <v>45324</v>
      </c>
      <c r="B51" t="n">
        <v>15</v>
      </c>
      <c r="C51">
        <f>VLOOKUP("2024-02-02 00:00:0015", [Concatenated_Hourly_GHI.xlsx]Sheet1!$N:$O, 2, FALSE)</f>
        <v/>
      </c>
      <c r="D51">
        <f>INDEX([2]Sheet1!$H:$H, MATCH(A51&amp;B51, [2]Sheet1!$W:$W, 0))</f>
        <v/>
      </c>
      <c r="E51">
        <f>INDEX([2]Sheet1!$Q:$Q, MATCH(A51&amp;B51, [2]Sheet1!$W:$W, 0))</f>
        <v/>
      </c>
    </row>
    <row r="52">
      <c r="A52" s="2" t="n">
        <v>45324</v>
      </c>
      <c r="B52" t="n">
        <v>16</v>
      </c>
      <c r="C52">
        <f>VLOOKUP("2024-02-02 00:00:0016", [Concatenated_Hourly_GHI.xlsx]Sheet1!$N:$O, 2, FALSE)</f>
        <v/>
      </c>
      <c r="D52">
        <f>INDEX([2]Sheet1!$H:$H, MATCH(A52&amp;B52, [2]Sheet1!$W:$W, 0))</f>
        <v/>
      </c>
      <c r="E52">
        <f>INDEX([2]Sheet1!$Q:$Q, MATCH(A52&amp;B52, [2]Sheet1!$W:$W, 0))</f>
        <v/>
      </c>
    </row>
    <row r="53">
      <c r="A53" s="2" t="n">
        <v>45324</v>
      </c>
      <c r="B53" t="n">
        <v>17</v>
      </c>
      <c r="C53">
        <f>VLOOKUP("2024-02-02 00:00:0017", [Concatenated_Hourly_GHI.xlsx]Sheet1!$N:$O, 2, FALSE)</f>
        <v/>
      </c>
      <c r="D53">
        <f>INDEX([2]Sheet1!$H:$H, MATCH(A53&amp;B53, [2]Sheet1!$W:$W, 0))</f>
        <v/>
      </c>
      <c r="E53">
        <f>INDEX([2]Sheet1!$Q:$Q, MATCH(A53&amp;B53, [2]Sheet1!$W:$W, 0))</f>
        <v/>
      </c>
    </row>
    <row r="54">
      <c r="A54" s="2" t="n">
        <v>45324</v>
      </c>
      <c r="B54" t="n">
        <v>18</v>
      </c>
      <c r="C54">
        <f>VLOOKUP("2024-02-02 00:00:0018", [Concatenated_Hourly_GHI.xlsx]Sheet1!$N:$O, 2, FALSE)</f>
        <v/>
      </c>
      <c r="D54">
        <f>INDEX([2]Sheet1!$H:$H, MATCH(A54&amp;B54, [2]Sheet1!$W:$W, 0))</f>
        <v/>
      </c>
      <c r="E54">
        <f>INDEX([2]Sheet1!$Q:$Q, MATCH(A54&amp;B54, [2]Sheet1!$W:$W, 0))</f>
        <v/>
      </c>
    </row>
    <row r="55">
      <c r="A55" s="2" t="n">
        <v>45324</v>
      </c>
      <c r="B55" t="n">
        <v>19</v>
      </c>
      <c r="C55">
        <f>VLOOKUP("2024-02-02 00:00:0019", [Concatenated_Hourly_GHI.xlsx]Sheet1!$N:$O, 2, FALSE)</f>
        <v/>
      </c>
      <c r="D55">
        <f>INDEX([2]Sheet1!$H:$H, MATCH(A55&amp;B55, [2]Sheet1!$W:$W, 0))</f>
        <v/>
      </c>
      <c r="E55">
        <f>INDEX([2]Sheet1!$Q:$Q, MATCH(A55&amp;B55, [2]Sheet1!$W:$W, 0))</f>
        <v/>
      </c>
    </row>
    <row r="56">
      <c r="A56" s="2" t="n">
        <v>45324</v>
      </c>
      <c r="B56" t="n">
        <v>20</v>
      </c>
      <c r="C56">
        <f>VLOOKUP("2024-02-02 00:00:0020", [Concatenated_Hourly_GHI.xlsx]Sheet1!$N:$O, 2, FALSE)</f>
        <v/>
      </c>
      <c r="D56">
        <f>INDEX([2]Sheet1!$H:$H, MATCH(A56&amp;B56, [2]Sheet1!$W:$W, 0))</f>
        <v/>
      </c>
      <c r="E56">
        <f>INDEX([2]Sheet1!$Q:$Q, MATCH(A56&amp;B56, [2]Sheet1!$W:$W, 0))</f>
        <v/>
      </c>
    </row>
    <row r="57">
      <c r="A57" s="2" t="n">
        <v>45324</v>
      </c>
      <c r="B57" t="n">
        <v>21</v>
      </c>
      <c r="C57">
        <f>VLOOKUP("2024-02-02 00:00:0021", [Concatenated_Hourly_GHI.xlsx]Sheet1!$N:$O, 2, FALSE)</f>
        <v/>
      </c>
      <c r="D57">
        <f>INDEX([2]Sheet1!$H:$H, MATCH(A57&amp;B57, [2]Sheet1!$W:$W, 0))</f>
        <v/>
      </c>
      <c r="E57">
        <f>INDEX([2]Sheet1!$Q:$Q, MATCH(A57&amp;B57, [2]Sheet1!$W:$W, 0))</f>
        <v/>
      </c>
    </row>
    <row r="58">
      <c r="A58" s="2" t="n">
        <v>45324</v>
      </c>
      <c r="B58" t="n">
        <v>22</v>
      </c>
      <c r="C58">
        <f>VLOOKUP("2024-02-02 00:00:0022", [Concatenated_Hourly_GHI.xlsx]Sheet1!$N:$O, 2, FALSE)</f>
        <v/>
      </c>
      <c r="D58">
        <f>INDEX([2]Sheet1!$H:$H, MATCH(A58&amp;B58, [2]Sheet1!$W:$W, 0))</f>
        <v/>
      </c>
      <c r="E58">
        <f>INDEX([2]Sheet1!$Q:$Q, MATCH(A58&amp;B58, [2]Sheet1!$W:$W, 0))</f>
        <v/>
      </c>
    </row>
    <row r="59">
      <c r="A59" s="2" t="n">
        <v>45324</v>
      </c>
      <c r="B59" t="n">
        <v>23</v>
      </c>
      <c r="C59">
        <f>VLOOKUP("2024-02-02 00:00:0023", [Concatenated_Hourly_GHI.xlsx]Sheet1!$N:$O, 2, FALSE)</f>
        <v/>
      </c>
      <c r="D59">
        <f>INDEX([2]Sheet1!$H:$H, MATCH(A59&amp;B59, [2]Sheet1!$W:$W, 0))</f>
        <v/>
      </c>
      <c r="E59">
        <f>INDEX([2]Sheet1!$Q:$Q, MATCH(A59&amp;B59, [2]Sheet1!$W:$W, 0))</f>
        <v/>
      </c>
    </row>
    <row r="60">
      <c r="A60" s="2" t="n">
        <v>45325</v>
      </c>
      <c r="B60" t="n">
        <v>0</v>
      </c>
      <c r="C60">
        <f>VLOOKUP("2024-02-03 00:00:000", [Concatenated_Hourly_GHI.xlsx]Sheet1!$N:$O, 2, FALSE)</f>
        <v/>
      </c>
      <c r="D60">
        <f>INDEX([2]Sheet1!$H:$H, MATCH(A60&amp;B60, [2]Sheet1!$W:$W, 0))</f>
        <v/>
      </c>
      <c r="E60">
        <f>INDEX([2]Sheet1!$Q:$Q, MATCH(A60&amp;B60, [2]Sheet1!$W:$W, 0))</f>
        <v/>
      </c>
    </row>
    <row r="61">
      <c r="A61" s="2" t="n">
        <v>45325</v>
      </c>
      <c r="B61" t="n">
        <v>1</v>
      </c>
      <c r="C61">
        <f>VLOOKUP("2024-02-03 00:00:001", [Concatenated_Hourly_GHI.xlsx]Sheet1!$N:$O, 2, FALSE)</f>
        <v/>
      </c>
      <c r="D61">
        <f>INDEX([2]Sheet1!$H:$H, MATCH(A61&amp;B61, [2]Sheet1!$W:$W, 0))</f>
        <v/>
      </c>
      <c r="E61">
        <f>INDEX([2]Sheet1!$Q:$Q, MATCH(A61&amp;B61, [2]Sheet1!$W:$W, 0))</f>
        <v/>
      </c>
    </row>
    <row r="62">
      <c r="A62" s="2" t="n">
        <v>45325</v>
      </c>
      <c r="B62" t="n">
        <v>2</v>
      </c>
      <c r="C62">
        <f>VLOOKUP("2024-02-03 00:00:002", [Concatenated_Hourly_GHI.xlsx]Sheet1!$N:$O, 2, FALSE)</f>
        <v/>
      </c>
      <c r="D62">
        <f>INDEX([2]Sheet1!$H:$H, MATCH(A62&amp;B62, [2]Sheet1!$W:$W, 0))</f>
        <v/>
      </c>
      <c r="E62">
        <f>INDEX([2]Sheet1!$Q:$Q, MATCH(A62&amp;B62, [2]Sheet1!$W:$W, 0))</f>
        <v/>
      </c>
    </row>
    <row r="63">
      <c r="A63" s="2" t="n">
        <v>45325</v>
      </c>
      <c r="B63" t="n">
        <v>3</v>
      </c>
      <c r="C63">
        <f>VLOOKUP("2024-02-03 00:00:003", [Concatenated_Hourly_GHI.xlsx]Sheet1!$N:$O, 2, FALSE)</f>
        <v/>
      </c>
      <c r="D63">
        <f>INDEX([2]Sheet1!$H:$H, MATCH(A63&amp;B63, [2]Sheet1!$W:$W, 0))</f>
        <v/>
      </c>
      <c r="E63">
        <f>INDEX([2]Sheet1!$Q:$Q, MATCH(A63&amp;B63, [2]Sheet1!$W:$W, 0))</f>
        <v/>
      </c>
    </row>
    <row r="64">
      <c r="A64" s="2" t="n">
        <v>45325</v>
      </c>
      <c r="B64" t="n">
        <v>4</v>
      </c>
      <c r="C64">
        <f>VLOOKUP("2024-02-03 00:00:004", [Concatenated_Hourly_GHI.xlsx]Sheet1!$N:$O, 2, FALSE)</f>
        <v/>
      </c>
      <c r="D64">
        <f>INDEX([2]Sheet1!$H:$H, MATCH(A64&amp;B64, [2]Sheet1!$W:$W, 0))</f>
        <v/>
      </c>
      <c r="E64">
        <f>INDEX([2]Sheet1!$Q:$Q, MATCH(A64&amp;B64, [2]Sheet1!$W:$W, 0))</f>
        <v/>
      </c>
    </row>
    <row r="65">
      <c r="A65" s="2" t="n">
        <v>45325</v>
      </c>
      <c r="B65" t="n">
        <v>5</v>
      </c>
      <c r="C65">
        <f>VLOOKUP("2024-02-03 00:00:005", [Concatenated_Hourly_GHI.xlsx]Sheet1!$N:$O, 2, FALSE)</f>
        <v/>
      </c>
      <c r="D65">
        <f>INDEX([2]Sheet1!$H:$H, MATCH(A65&amp;B65, [2]Sheet1!$W:$W, 0))</f>
        <v/>
      </c>
      <c r="E65">
        <f>INDEX([2]Sheet1!$Q:$Q, MATCH(A65&amp;B65, [2]Sheet1!$W:$W, 0))</f>
        <v/>
      </c>
    </row>
    <row r="66">
      <c r="A66" s="2" t="n">
        <v>45325</v>
      </c>
      <c r="B66" t="n">
        <v>6</v>
      </c>
      <c r="C66">
        <f>VLOOKUP("2024-02-03 00:00:006", [Concatenated_Hourly_GHI.xlsx]Sheet1!$N:$O, 2, FALSE)</f>
        <v/>
      </c>
      <c r="D66">
        <f>INDEX([2]Sheet1!$H:$H, MATCH(A66&amp;B66, [2]Sheet1!$W:$W, 0))</f>
        <v/>
      </c>
      <c r="E66">
        <f>INDEX([2]Sheet1!$Q:$Q, MATCH(A66&amp;B66, [2]Sheet1!$W:$W, 0))</f>
        <v/>
      </c>
    </row>
    <row r="67">
      <c r="A67" s="2" t="n">
        <v>45325</v>
      </c>
      <c r="B67" t="n">
        <v>7</v>
      </c>
      <c r="C67">
        <f>VLOOKUP("2024-02-03 00:00:007", [Concatenated_Hourly_GHI.xlsx]Sheet1!$N:$O, 2, FALSE)</f>
        <v/>
      </c>
      <c r="D67">
        <f>INDEX([2]Sheet1!$H:$H, MATCH(A67&amp;B67, [2]Sheet1!$W:$W, 0))</f>
        <v/>
      </c>
      <c r="E67">
        <f>INDEX([2]Sheet1!$Q:$Q, MATCH(A67&amp;B67, [2]Sheet1!$W:$W, 0))</f>
        <v/>
      </c>
    </row>
    <row r="68">
      <c r="A68" s="2" t="n">
        <v>45325</v>
      </c>
      <c r="B68" t="n">
        <v>8</v>
      </c>
      <c r="C68">
        <f>VLOOKUP("2024-02-03 00:00:008", [Concatenated_Hourly_GHI.xlsx]Sheet1!$N:$O, 2, FALSE)</f>
        <v/>
      </c>
      <c r="D68">
        <f>INDEX([2]Sheet1!$H:$H, MATCH(A68&amp;B68, [2]Sheet1!$W:$W, 0))</f>
        <v/>
      </c>
      <c r="E68">
        <f>INDEX([2]Sheet1!$Q:$Q, MATCH(A68&amp;B68, [2]Sheet1!$W:$W, 0))</f>
        <v/>
      </c>
    </row>
    <row r="69">
      <c r="A69" s="2" t="n">
        <v>45325</v>
      </c>
      <c r="B69" t="n">
        <v>9</v>
      </c>
      <c r="C69">
        <f>VLOOKUP("2024-02-03 00:00:009", [Concatenated_Hourly_GHI.xlsx]Sheet1!$N:$O, 2, FALSE)</f>
        <v/>
      </c>
      <c r="D69">
        <f>INDEX([2]Sheet1!$H:$H, MATCH(A69&amp;B69, [2]Sheet1!$W:$W, 0))</f>
        <v/>
      </c>
      <c r="E69">
        <f>INDEX([2]Sheet1!$Q:$Q, MATCH(A69&amp;B69, [2]Sheet1!$W:$W, 0))</f>
        <v/>
      </c>
    </row>
    <row r="70">
      <c r="A70" s="2" t="n">
        <v>45325</v>
      </c>
      <c r="B70" t="n">
        <v>10</v>
      </c>
      <c r="C70">
        <f>VLOOKUP("2024-02-03 00:00:0010", [Concatenated_Hourly_GHI.xlsx]Sheet1!$N:$O, 2, FALSE)</f>
        <v/>
      </c>
      <c r="D70">
        <f>INDEX([2]Sheet1!$H:$H, MATCH(A70&amp;B70, [2]Sheet1!$W:$W, 0))</f>
        <v/>
      </c>
      <c r="E70">
        <f>INDEX([2]Sheet1!$Q:$Q, MATCH(A70&amp;B70, [2]Sheet1!$W:$W, 0))</f>
        <v/>
      </c>
    </row>
    <row r="71">
      <c r="A71" s="2" t="n">
        <v>45325</v>
      </c>
      <c r="B71" t="n">
        <v>11</v>
      </c>
      <c r="C71">
        <f>VLOOKUP("2024-02-03 00:00:0011", [Concatenated_Hourly_GHI.xlsx]Sheet1!$N:$O, 2, FALSE)</f>
        <v/>
      </c>
      <c r="D71">
        <f>INDEX([2]Sheet1!$H:$H, MATCH(A71&amp;B71, [2]Sheet1!$W:$W, 0))</f>
        <v/>
      </c>
      <c r="E71">
        <f>INDEX([2]Sheet1!$Q:$Q, MATCH(A71&amp;B71, [2]Sheet1!$W:$W, 0))</f>
        <v/>
      </c>
    </row>
    <row r="72">
      <c r="A72" s="2" t="n">
        <v>45325</v>
      </c>
      <c r="B72" t="n">
        <v>12</v>
      </c>
      <c r="C72">
        <f>VLOOKUP("2024-02-03 00:00:0012", [Concatenated_Hourly_GHI.xlsx]Sheet1!$N:$O, 2, FALSE)</f>
        <v/>
      </c>
      <c r="D72">
        <f>INDEX([2]Sheet1!$H:$H, MATCH(A72&amp;B72, [2]Sheet1!$W:$W, 0))</f>
        <v/>
      </c>
      <c r="E72">
        <f>INDEX([2]Sheet1!$Q:$Q, MATCH(A72&amp;B72, [2]Sheet1!$W:$W, 0))</f>
        <v/>
      </c>
    </row>
    <row r="73">
      <c r="A73" s="2" t="n">
        <v>45325</v>
      </c>
      <c r="B73" t="n">
        <v>13</v>
      </c>
      <c r="C73">
        <f>VLOOKUP("2024-02-03 00:00:0013", [Concatenated_Hourly_GHI.xlsx]Sheet1!$N:$O, 2, FALSE)</f>
        <v/>
      </c>
      <c r="D73">
        <f>INDEX([2]Sheet1!$H:$H, MATCH(A73&amp;B73, [2]Sheet1!$W:$W, 0))</f>
        <v/>
      </c>
      <c r="E73">
        <f>INDEX([2]Sheet1!$Q:$Q, MATCH(A73&amp;B73, [2]Sheet1!$W:$W, 0))</f>
        <v/>
      </c>
    </row>
    <row r="74">
      <c r="A74" s="2" t="n">
        <v>45325</v>
      </c>
      <c r="B74" t="n">
        <v>14</v>
      </c>
      <c r="C74">
        <f>VLOOKUP("2024-02-03 00:00:0014", [Concatenated_Hourly_GHI.xlsx]Sheet1!$N:$O, 2, FALSE)</f>
        <v/>
      </c>
      <c r="D74">
        <f>INDEX([2]Sheet1!$H:$H, MATCH(A74&amp;B74, [2]Sheet1!$W:$W, 0))</f>
        <v/>
      </c>
      <c r="E74">
        <f>INDEX([2]Sheet1!$Q:$Q, MATCH(A74&amp;B74, [2]Sheet1!$W:$W, 0))</f>
        <v/>
      </c>
    </row>
    <row r="75">
      <c r="A75" s="2" t="n">
        <v>45325</v>
      </c>
      <c r="B75" t="n">
        <v>15</v>
      </c>
      <c r="C75">
        <f>VLOOKUP("2024-02-03 00:00:0015", [Concatenated_Hourly_GHI.xlsx]Sheet1!$N:$O, 2, FALSE)</f>
        <v/>
      </c>
      <c r="D75">
        <f>INDEX([2]Sheet1!$H:$H, MATCH(A75&amp;B75, [2]Sheet1!$W:$W, 0))</f>
        <v/>
      </c>
      <c r="E75">
        <f>INDEX([2]Sheet1!$Q:$Q, MATCH(A75&amp;B75, [2]Sheet1!$W:$W, 0))</f>
        <v/>
      </c>
    </row>
    <row r="76">
      <c r="A76" s="2" t="n">
        <v>45325</v>
      </c>
      <c r="B76" t="n">
        <v>16</v>
      </c>
      <c r="C76">
        <f>VLOOKUP("2024-02-03 00:00:0016", [Concatenated_Hourly_GHI.xlsx]Sheet1!$N:$O, 2, FALSE)</f>
        <v/>
      </c>
      <c r="D76">
        <f>INDEX([2]Sheet1!$H:$H, MATCH(A76&amp;B76, [2]Sheet1!$W:$W, 0))</f>
        <v/>
      </c>
      <c r="E76">
        <f>INDEX([2]Sheet1!$Q:$Q, MATCH(A76&amp;B76, [2]Sheet1!$W:$W, 0))</f>
        <v/>
      </c>
    </row>
    <row r="77">
      <c r="A77" s="2" t="n">
        <v>45325</v>
      </c>
      <c r="B77" t="n">
        <v>17</v>
      </c>
      <c r="C77">
        <f>VLOOKUP("2024-02-03 00:00:0017", [Concatenated_Hourly_GHI.xlsx]Sheet1!$N:$O, 2, FALSE)</f>
        <v/>
      </c>
      <c r="D77">
        <f>INDEX([2]Sheet1!$H:$H, MATCH(A77&amp;B77, [2]Sheet1!$W:$W, 0))</f>
        <v/>
      </c>
      <c r="E77">
        <f>INDEX([2]Sheet1!$Q:$Q, MATCH(A77&amp;B77, [2]Sheet1!$W:$W, 0))</f>
        <v/>
      </c>
    </row>
    <row r="78">
      <c r="A78" s="2" t="n">
        <v>45325</v>
      </c>
      <c r="B78" t="n">
        <v>18</v>
      </c>
      <c r="C78">
        <f>VLOOKUP("2024-02-03 00:00:0018", [Concatenated_Hourly_GHI.xlsx]Sheet1!$N:$O, 2, FALSE)</f>
        <v/>
      </c>
      <c r="D78">
        <f>INDEX([2]Sheet1!$H:$H, MATCH(A78&amp;B78, [2]Sheet1!$W:$W, 0))</f>
        <v/>
      </c>
      <c r="E78">
        <f>INDEX([2]Sheet1!$Q:$Q, MATCH(A78&amp;B78, [2]Sheet1!$W:$W, 0))</f>
        <v/>
      </c>
    </row>
    <row r="79">
      <c r="A79" s="2" t="n">
        <v>45325</v>
      </c>
      <c r="B79" t="n">
        <v>19</v>
      </c>
      <c r="C79">
        <f>VLOOKUP("2024-02-03 00:00:0019", [Concatenated_Hourly_GHI.xlsx]Sheet1!$N:$O, 2, FALSE)</f>
        <v/>
      </c>
      <c r="D79">
        <f>INDEX([2]Sheet1!$H:$H, MATCH(A79&amp;B79, [2]Sheet1!$W:$W, 0))</f>
        <v/>
      </c>
      <c r="E79">
        <f>INDEX([2]Sheet1!$Q:$Q, MATCH(A79&amp;B79, [2]Sheet1!$W:$W, 0))</f>
        <v/>
      </c>
    </row>
    <row r="80">
      <c r="A80" s="2" t="n">
        <v>45325</v>
      </c>
      <c r="B80" t="n">
        <v>20</v>
      </c>
      <c r="C80">
        <f>VLOOKUP("2024-02-03 00:00:0020", [Concatenated_Hourly_GHI.xlsx]Sheet1!$N:$O, 2, FALSE)</f>
        <v/>
      </c>
      <c r="D80">
        <f>INDEX([2]Sheet1!$H:$H, MATCH(A80&amp;B80, [2]Sheet1!$W:$W, 0))</f>
        <v/>
      </c>
      <c r="E80">
        <f>INDEX([2]Sheet1!$Q:$Q, MATCH(A80&amp;B80, [2]Sheet1!$W:$W, 0))</f>
        <v/>
      </c>
    </row>
    <row r="81">
      <c r="A81" s="2" t="n">
        <v>45325</v>
      </c>
      <c r="B81" t="n">
        <v>21</v>
      </c>
      <c r="C81">
        <f>VLOOKUP("2024-02-03 00:00:0021", [Concatenated_Hourly_GHI.xlsx]Sheet1!$N:$O, 2, FALSE)</f>
        <v/>
      </c>
      <c r="D81">
        <f>INDEX([2]Sheet1!$H:$H, MATCH(A81&amp;B81, [2]Sheet1!$W:$W, 0))</f>
        <v/>
      </c>
      <c r="E81">
        <f>INDEX([2]Sheet1!$Q:$Q, MATCH(A81&amp;B81, [2]Sheet1!$W:$W, 0))</f>
        <v/>
      </c>
    </row>
    <row r="82">
      <c r="A82" s="2" t="n">
        <v>45325</v>
      </c>
      <c r="B82" t="n">
        <v>22</v>
      </c>
      <c r="C82">
        <f>VLOOKUP("2024-02-03 00:00:0022", [Concatenated_Hourly_GHI.xlsx]Sheet1!$N:$O, 2, FALSE)</f>
        <v/>
      </c>
      <c r="D82">
        <f>INDEX([2]Sheet1!$H:$H, MATCH(A82&amp;B82, [2]Sheet1!$W:$W, 0))</f>
        <v/>
      </c>
      <c r="E82">
        <f>INDEX([2]Sheet1!$Q:$Q, MATCH(A82&amp;B82, [2]Sheet1!$W:$W, 0))</f>
        <v/>
      </c>
    </row>
    <row r="83">
      <c r="A83" s="2" t="n">
        <v>45325</v>
      </c>
      <c r="B83" t="n">
        <v>23</v>
      </c>
      <c r="C83">
        <f>VLOOKUP("2024-02-03 00:00:0023", [Concatenated_Hourly_GHI.xlsx]Sheet1!$N:$O, 2, FALSE)</f>
        <v/>
      </c>
      <c r="D83">
        <f>INDEX([2]Sheet1!$H:$H, MATCH(A83&amp;B83, [2]Sheet1!$W:$W, 0))</f>
        <v/>
      </c>
      <c r="E83">
        <f>INDEX([2]Sheet1!$Q:$Q, MATCH(A83&amp;B83, [2]Sheet1!$W:$W, 0))</f>
        <v/>
      </c>
    </row>
    <row r="84">
      <c r="A84" s="2" t="n">
        <v>45326</v>
      </c>
      <c r="B84" t="n">
        <v>0</v>
      </c>
      <c r="C84">
        <f>VLOOKUP("2024-02-04 00:00:000", [Concatenated_Hourly_GHI.xlsx]Sheet1!$N:$O, 2, FALSE)</f>
        <v/>
      </c>
      <c r="D84">
        <f>INDEX([2]Sheet1!$H:$H, MATCH(A84&amp;B84, [2]Sheet1!$W:$W, 0))</f>
        <v/>
      </c>
      <c r="E84">
        <f>INDEX([2]Sheet1!$Q:$Q, MATCH(A84&amp;B84, [2]Sheet1!$W:$W, 0))</f>
        <v/>
      </c>
    </row>
    <row r="85">
      <c r="A85" s="2" t="n">
        <v>45326</v>
      </c>
      <c r="B85" t="n">
        <v>1</v>
      </c>
      <c r="C85">
        <f>VLOOKUP("2024-02-04 00:00:001", [Concatenated_Hourly_GHI.xlsx]Sheet1!$N:$O, 2, FALSE)</f>
        <v/>
      </c>
      <c r="D85">
        <f>INDEX([2]Sheet1!$H:$H, MATCH(A85&amp;B85, [2]Sheet1!$W:$W, 0))</f>
        <v/>
      </c>
      <c r="E85">
        <f>INDEX([2]Sheet1!$Q:$Q, MATCH(A85&amp;B85, [2]Sheet1!$W:$W, 0))</f>
        <v/>
      </c>
    </row>
    <row r="86">
      <c r="A86" s="2" t="n">
        <v>45326</v>
      </c>
      <c r="B86" t="n">
        <v>2</v>
      </c>
      <c r="C86">
        <f>VLOOKUP("2024-02-04 00:00:002", [Concatenated_Hourly_GHI.xlsx]Sheet1!$N:$O, 2, FALSE)</f>
        <v/>
      </c>
      <c r="D86">
        <f>INDEX([2]Sheet1!$H:$H, MATCH(A86&amp;B86, [2]Sheet1!$W:$W, 0))</f>
        <v/>
      </c>
      <c r="E86">
        <f>INDEX([2]Sheet1!$Q:$Q, MATCH(A86&amp;B86, [2]Sheet1!$W:$W, 0))</f>
        <v/>
      </c>
    </row>
    <row r="87">
      <c r="A87" s="2" t="n">
        <v>45326</v>
      </c>
      <c r="B87" t="n">
        <v>3</v>
      </c>
      <c r="C87">
        <f>VLOOKUP("2024-02-04 00:00:003", [Concatenated_Hourly_GHI.xlsx]Sheet1!$N:$O, 2, FALSE)</f>
        <v/>
      </c>
      <c r="D87">
        <f>INDEX([2]Sheet1!$H:$H, MATCH(A87&amp;B87, [2]Sheet1!$W:$W, 0))</f>
        <v/>
      </c>
      <c r="E87">
        <f>INDEX([2]Sheet1!$Q:$Q, MATCH(A87&amp;B87, [2]Sheet1!$W:$W, 0))</f>
        <v/>
      </c>
    </row>
    <row r="88">
      <c r="A88" s="2" t="n">
        <v>45326</v>
      </c>
      <c r="B88" t="n">
        <v>4</v>
      </c>
      <c r="C88">
        <f>VLOOKUP("2024-02-04 00:00:004", [Concatenated_Hourly_GHI.xlsx]Sheet1!$N:$O, 2, FALSE)</f>
        <v/>
      </c>
      <c r="D88">
        <f>INDEX([2]Sheet1!$H:$H, MATCH(A88&amp;B88, [2]Sheet1!$W:$W, 0))</f>
        <v/>
      </c>
      <c r="E88">
        <f>INDEX([2]Sheet1!$Q:$Q, MATCH(A88&amp;B88, [2]Sheet1!$W:$W, 0))</f>
        <v/>
      </c>
    </row>
    <row r="89">
      <c r="A89" s="2" t="n">
        <v>45326</v>
      </c>
      <c r="B89" t="n">
        <v>5</v>
      </c>
      <c r="C89">
        <f>VLOOKUP("2024-02-04 00:00:005", [Concatenated_Hourly_GHI.xlsx]Sheet1!$N:$O, 2, FALSE)</f>
        <v/>
      </c>
      <c r="D89">
        <f>INDEX([2]Sheet1!$H:$H, MATCH(A89&amp;B89, [2]Sheet1!$W:$W, 0))</f>
        <v/>
      </c>
      <c r="E89">
        <f>INDEX([2]Sheet1!$Q:$Q, MATCH(A89&amp;B89, [2]Sheet1!$W:$W, 0))</f>
        <v/>
      </c>
    </row>
    <row r="90">
      <c r="A90" s="2" t="n">
        <v>45326</v>
      </c>
      <c r="B90" t="n">
        <v>6</v>
      </c>
      <c r="C90">
        <f>VLOOKUP("2024-02-04 00:00:006", [Concatenated_Hourly_GHI.xlsx]Sheet1!$N:$O, 2, FALSE)</f>
        <v/>
      </c>
      <c r="D90">
        <f>INDEX([2]Sheet1!$H:$H, MATCH(A90&amp;B90, [2]Sheet1!$W:$W, 0))</f>
        <v/>
      </c>
      <c r="E90">
        <f>INDEX([2]Sheet1!$Q:$Q, MATCH(A90&amp;B90, [2]Sheet1!$W:$W, 0))</f>
        <v/>
      </c>
    </row>
    <row r="91">
      <c r="A91" s="2" t="n">
        <v>45326</v>
      </c>
      <c r="B91" t="n">
        <v>7</v>
      </c>
      <c r="C91">
        <f>VLOOKUP("2024-02-04 00:00:007", [Concatenated_Hourly_GHI.xlsx]Sheet1!$N:$O, 2, FALSE)</f>
        <v/>
      </c>
      <c r="D91">
        <f>INDEX([2]Sheet1!$H:$H, MATCH(A91&amp;B91, [2]Sheet1!$W:$W, 0))</f>
        <v/>
      </c>
      <c r="E91">
        <f>INDEX([2]Sheet1!$Q:$Q, MATCH(A91&amp;B91, [2]Sheet1!$W:$W, 0))</f>
        <v/>
      </c>
    </row>
    <row r="92">
      <c r="A92" s="2" t="n">
        <v>45326</v>
      </c>
      <c r="B92" t="n">
        <v>8</v>
      </c>
      <c r="C92">
        <f>VLOOKUP("2024-02-04 00:00:008", [Concatenated_Hourly_GHI.xlsx]Sheet1!$N:$O, 2, FALSE)</f>
        <v/>
      </c>
      <c r="D92">
        <f>INDEX([2]Sheet1!$H:$H, MATCH(A92&amp;B92, [2]Sheet1!$W:$W, 0))</f>
        <v/>
      </c>
      <c r="E92">
        <f>INDEX([2]Sheet1!$Q:$Q, MATCH(A92&amp;B92, [2]Sheet1!$W:$W, 0))</f>
        <v/>
      </c>
    </row>
    <row r="93">
      <c r="A93" s="2" t="n">
        <v>45326</v>
      </c>
      <c r="B93" t="n">
        <v>9</v>
      </c>
      <c r="C93">
        <f>VLOOKUP("2024-02-04 00:00:009", [Concatenated_Hourly_GHI.xlsx]Sheet1!$N:$O, 2, FALSE)</f>
        <v/>
      </c>
      <c r="D93">
        <f>INDEX([2]Sheet1!$H:$H, MATCH(A93&amp;B93, [2]Sheet1!$W:$W, 0))</f>
        <v/>
      </c>
      <c r="E93">
        <f>INDEX([2]Sheet1!$Q:$Q, MATCH(A93&amp;B93, [2]Sheet1!$W:$W, 0))</f>
        <v/>
      </c>
    </row>
    <row r="94">
      <c r="A94" s="2" t="n">
        <v>45326</v>
      </c>
      <c r="B94" t="n">
        <v>10</v>
      </c>
      <c r="C94">
        <f>VLOOKUP("2024-02-04 00:00:0010", [Concatenated_Hourly_GHI.xlsx]Sheet1!$N:$O, 2, FALSE)</f>
        <v/>
      </c>
      <c r="D94">
        <f>INDEX([2]Sheet1!$H:$H, MATCH(A94&amp;B94, [2]Sheet1!$W:$W, 0))</f>
        <v/>
      </c>
      <c r="E94">
        <f>INDEX([2]Sheet1!$Q:$Q, MATCH(A94&amp;B94, [2]Sheet1!$W:$W, 0))</f>
        <v/>
      </c>
    </row>
    <row r="95">
      <c r="A95" s="2" t="n">
        <v>45326</v>
      </c>
      <c r="B95" t="n">
        <v>11</v>
      </c>
      <c r="C95">
        <f>VLOOKUP("2024-02-04 00:00:0011", [Concatenated_Hourly_GHI.xlsx]Sheet1!$N:$O, 2, FALSE)</f>
        <v/>
      </c>
      <c r="D95">
        <f>INDEX([2]Sheet1!$H:$H, MATCH(A95&amp;B95, [2]Sheet1!$W:$W, 0))</f>
        <v/>
      </c>
      <c r="E95">
        <f>INDEX([2]Sheet1!$Q:$Q, MATCH(A95&amp;B95, [2]Sheet1!$W:$W, 0))</f>
        <v/>
      </c>
    </row>
    <row r="96">
      <c r="A96" s="2" t="n">
        <v>45326</v>
      </c>
      <c r="B96" t="n">
        <v>12</v>
      </c>
      <c r="C96">
        <f>VLOOKUP("2024-02-04 00:00:0012", [Concatenated_Hourly_GHI.xlsx]Sheet1!$N:$O, 2, FALSE)</f>
        <v/>
      </c>
      <c r="D96">
        <f>INDEX([2]Sheet1!$H:$H, MATCH(A96&amp;B96, [2]Sheet1!$W:$W, 0))</f>
        <v/>
      </c>
      <c r="E96">
        <f>INDEX([2]Sheet1!$Q:$Q, MATCH(A96&amp;B96, [2]Sheet1!$W:$W, 0))</f>
        <v/>
      </c>
    </row>
    <row r="97">
      <c r="A97" s="2" t="n">
        <v>45326</v>
      </c>
      <c r="B97" t="n">
        <v>13</v>
      </c>
      <c r="C97">
        <f>VLOOKUP("2024-02-04 00:00:0013", [Concatenated_Hourly_GHI.xlsx]Sheet1!$N:$O, 2, FALSE)</f>
        <v/>
      </c>
      <c r="D97">
        <f>INDEX([2]Sheet1!$H:$H, MATCH(A97&amp;B97, [2]Sheet1!$W:$W, 0))</f>
        <v/>
      </c>
      <c r="E97">
        <f>INDEX([2]Sheet1!$Q:$Q, MATCH(A97&amp;B97, [2]Sheet1!$W:$W, 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2024-01-29T14:22:20Z</dcterms:created>
  <dcterms:modified xsi:type="dcterms:W3CDTF">2024-02-01T12:29:14Z</dcterms:modified>
  <cp:lastModifiedBy>Andrei Ionita</cp:lastModifiedBy>
</cp:coreProperties>
</file>